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说明-先看这页" sheetId="1" state="visible" r:id="rId1"/>
    <sheet name="Notes" sheetId="2" state="visible" r:id="rId2"/>
    <sheet name="Forecast" sheetId="3" state="visible" r:id="rId3"/>
    <sheet name="Inputs" sheetId="4" state="visible" r:id="rId4"/>
    <sheet name="Monthly" sheetId="5" state="visible" r:id="rId5"/>
    <sheet name="Sensitivity" sheetId="6" state="visible" r:id="rId6"/>
    <sheet name="Voyage_TCE" sheetId="7" state="visible" r:id="rId7"/>
    <sheet name="Sourc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\$#,##0;&quot;($&quot;#,##0\);\-"/>
    <numFmt numFmtId="166" formatCode="0.0%;\(0.0%\);\-"/>
    <numFmt numFmtId="167" formatCode="0.0"/>
    <numFmt numFmtId="168" formatCode="\$0.0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00"/>
      <sz val="10"/>
    </font>
    <font>
      <name val="Arial"/>
      <family val="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FF"/>
      <sz val="10"/>
    </font>
    <font>
      <name val="Arial"/>
    </font>
    <font>
      <name val="Arial"/>
      <b val="1"/>
      <sz val="13"/>
    </font>
    <font>
      <name val="Arial"/>
      <b val="1"/>
    </font>
    <font>
      <name val="Arial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5" fontId="10" fillId="3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165" fontId="14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164" fontId="14" fillId="4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14" fillId="4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5" fontId="15" fillId="5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8" fontId="14" fillId="0" borderId="1" applyAlignment="1" pivotButton="0" quotePrefix="0" xfId="0">
      <alignment horizontal="general" vertical="bottom"/>
    </xf>
    <xf numFmtId="167" fontId="14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 wrapText="1"/>
    </xf>
    <xf numFmtId="0" fontId="0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5" fontId="10" fillId="3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165" fontId="14" fillId="4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164" fontId="14" fillId="4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14" fillId="4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5" fontId="15" fillId="5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8" fontId="14" fillId="0" borderId="1" applyAlignment="1" pivotButton="0" quotePrefix="0" xfId="0">
      <alignment horizontal="general" vertical="bottom"/>
    </xf>
    <xf numFmtId="167" fontId="14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12-month earnings before vs after OPEX ($)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"Before OPEX"</f>
              <strCache>
                <ptCount val="1"/>
                <pt idx="0">
                  <v>Before OPEX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Bull ($)</v>
                  </pt>
                </lvl>
                <lvl>
                  <pt idx="0">
                    <v>Base ($)</v>
                  </pt>
                </lvl>
                <lvl>
                  <pt idx="0">
                    <v>Bear ($)</v>
                  </pt>
                </lvl>
              </multiLvlStrCache>
              <f>Forecast!$E$4:$G$4</f>
            </multiLvlStrRef>
          </cat>
          <val>
            <numRef>
              <f>Forecast!$E$10:$G$10</f>
              <numCache>
                <formatCode>\$#,##0;"($"#,##0\);\-</formatCode>
                <ptCount val="3"/>
                <pt idx="0">
                  <v>43295000</v>
                </pt>
                <pt idx="1">
                  <v>49700000</v>
                </pt>
                <pt idx="2">
                  <v>53305000</v>
                </pt>
              </numCache>
            </numRef>
          </val>
        </ser>
        <ser>
          <idx val="1"/>
          <order val="1"/>
          <tx>
            <strRef>
              <f>"After OPEX"</f>
              <strCache>
                <ptCount val="1"/>
                <pt idx="0">
                  <v>After OPEX</v>
                </pt>
              </strCache>
            </strRef>
          </tx>
          <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Bull ($)</v>
                  </pt>
                </lvl>
                <lvl>
                  <pt idx="0">
                    <v>Base ($)</v>
                  </pt>
                </lvl>
                <lvl>
                  <pt idx="0">
                    <v>Bear ($)</v>
                  </pt>
                </lvl>
              </multiLvlStrCache>
              <f>Forecast!$E$4:$G$4</f>
            </multiLvlStrRef>
          </cat>
          <val>
            <numRef>
              <f>Forecast!$E$19:$G$19</f>
              <numCache>
                <formatCode>\$#,##0;"($"#,##0\);\-</formatCode>
                <ptCount val="3"/>
                <pt idx="0">
                  <v>30499000</v>
                </pt>
                <pt idx="1">
                  <v>36904000</v>
                </pt>
                <pt idx="2">
                  <v>40509000</v>
                </pt>
              </numCache>
            </numRef>
          </val>
        </ser>
        <gapWidth val="150"/>
        <overlap val="0"/>
        <axId val="4001393"/>
        <axId val="78812403"/>
      </barChart>
      <catAx>
        <axId val="400139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8812403"/>
        <crosses val="autoZero"/>
        <auto val="1"/>
        <lblAlgn val="ctr"/>
        <lblOffset val="100"/>
        <noMultiLvlLbl val="0"/>
      </catAx>
      <valAx>
        <axId val="7881240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\$#,##0,,\m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001393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E18" authorId="0" shapeId="0">
      <text>
        <t>Matches proposal method: fleet OPEX/day × 350. Strictly OPEX accrues 365 days; ×365 would add ~$0.55m.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D26" authorId="0" shapeId="0">
      <text>
        <t>Change to 1/2/3 to switch the Monthly sheet scenario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8</col>
      <colOff>0</colOff>
      <row>2</row>
      <rowOff>160920</rowOff>
    </from>
    <to>
      <col>16</col>
      <colOff>492120</colOff>
      <row>17</row>
      <rowOff>70560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" customWidth="1" style="42" min="1" max="1"/>
    <col width="105" customWidth="1" style="42" min="2" max="2"/>
  </cols>
  <sheetData>
    <row r="1">
      <c r="A1" s="43" t="inlineStr"/>
      <c r="B1" s="44" t="inlineStr">
        <is>
          <t>这个表格怎么用（1 分钟看懂）</t>
        </is>
      </c>
    </row>
    <row r="2">
      <c r="A2" s="43" t="inlineStr"/>
      <c r="B2" s="45" t="inlineStr">
        <is>
          <t>打开时如果数字是空白，按一下 F9 让 Excel 重算。蓝色字 = 可以改的输入；黄色格 = 情景开关；黑色字 = 自动算出来的，别动。</t>
        </is>
      </c>
    </row>
    <row r="3">
      <c r="A3" s="43" t="inlineStr"/>
      <c r="B3" s="45" t="inlineStr"/>
    </row>
    <row r="4">
      <c r="A4" s="43" t="inlineStr"/>
      <c r="B4" s="46" t="inlineStr">
        <is>
          <t>整个模型只有一条公式：年收益 = 每天租金 × 350 天 × 船数（×(1 − 佣金率)，佣金率默认 0%）</t>
        </is>
      </c>
    </row>
    <row r="5">
      <c r="A5" s="43" t="inlineStr"/>
      <c r="B5" s="45" t="inlineStr">
        <is>
          <t>350 天 = 一年 365 天减去 15 天维修检验（行业惯例）。租金全部用 Clarksons 上最近一笔真实成交，情景值全部来自 SIN 收益序列。</t>
        </is>
      </c>
    </row>
    <row r="6">
      <c r="A6" s="43" t="inlineStr"/>
      <c r="B6" s="45" t="inlineStr"/>
    </row>
    <row r="7">
      <c r="A7" s="47" t="inlineStr">
        <is>
          <t>第1步</t>
        </is>
      </c>
      <c r="B7" s="45" t="inlineStr">
        <is>
          <t>定每艘船的租金（Inputs 表 F/G/H 列）：锁定的三艘 = 真实租约成交价（MR#1 $30,000、Aframax $40,000、Kamsarmax#1 $22,000），三种行情下不变。</t>
        </is>
      </c>
    </row>
    <row r="8">
      <c r="A8" s="47" t="inlineStr">
        <is>
          <t>第2步</t>
        </is>
      </c>
      <c r="B8" s="45" t="inlineStr">
        <is>
          <t>跑现货的两艘按三种行情取值（Inputs F6/G6/H6 与 F9/G9/H9）：坏行情 = 2025 年全年平均现货收益（MR $22,950、Kamsarmax $12,880）；基准 = 最近一笔 1 年期租成交（$27,000 / $23,000）；好行情 = 2026-10-09 当周现货收益（$53,741 / $23,389，10 月 15 日刷新）。</t>
        </is>
      </c>
    </row>
    <row r="9">
      <c r="A9" s="47" t="inlineStr">
        <is>
          <t>第3步</t>
        </is>
      </c>
      <c r="B9" s="45" t="inlineStr">
        <is>
          <t>算每艘船一年赚多少（Forecast 表 5-9 行）。例：MR#1 = 30,000 × 350 = $10,500,000；Aframax = 40,000 × 350 = $14,000,000。</t>
        </is>
      </c>
    </row>
    <row r="10">
      <c r="A10" s="47" t="inlineStr">
        <is>
          <t>第4步</t>
        </is>
      </c>
      <c r="B10" s="45" t="inlineStr">
        <is>
          <t>五艘加总（Forecast 表「Fleet earnings before OPEX」行）。基准：每天 142,000 美元 × 350 = $49,700,000；坏行情 $44,740,500；好行情 $53,298,000。</t>
        </is>
      </c>
    </row>
    <row r="11">
      <c r="A11" s="47" t="inlineStr">
        <is>
          <t>第5步</t>
        </is>
      </c>
      <c r="B11" s="45" t="inlineStr">
        <is>
          <t>除以本金 2.5 亿得收益率：坏 17.9% / 基准 19.9% / 好 23.7%。三艘锁定船贡献 $32,200,000，占基准收益 65%，所以最差与最好只差 5.8 个百分点，底线不动。</t>
        </is>
      </c>
    </row>
    <row r="12">
      <c r="A12" s="47" t="inlineStr">
        <is>
          <t>第6步</t>
        </is>
      </c>
      <c r="B12" s="45" t="inlineStr">
        <is>
          <t>概率加权期望值（Inputs D21:D23 权重 30% / 50% / 20%）：约 $50.1M，20.0%。权重是小组判断，答辩时如实说明。</t>
        </is>
      </c>
    </row>
    <row r="13">
      <c r="A13" s="47" t="inlineStr">
        <is>
          <t>第7步</t>
        </is>
      </c>
      <c r="B13" s="45" t="inlineStr">
        <is>
          <t>扣营运成本看净赚（Forecast 表「after OPEX」）：五艘每天共 36,560 美元 × 350 = $12.8M。基准净收益 = 49.7 − 12.8 = $36.9M（14.8%）。</t>
        </is>
      </c>
    </row>
    <row r="14">
      <c r="A14" s="47" t="inlineStr">
        <is>
          <t>第8步</t>
        </is>
      </c>
      <c r="B14" s="45" t="inlineStr">
        <is>
          <t>Monthly 表：按日历天把年收益摊到 12 个月；Sensitivity 表：两艘现货船租金任意组合下的总收益；Voyage_TCE 表：把煤炭航次运价 $25.60/吨换算成日收益（燃油按 9 月均价 $874.94/吨，约 $27,400/天，高于基准假设 $23,000，说明基准偏保守）。</t>
        </is>
      </c>
    </row>
    <row r="15">
      <c r="A15" s="43" t="inlineStr"/>
      <c r="B15" s="45" t="inlineStr"/>
    </row>
    <row r="16">
      <c r="A16" s="43" t="inlineStr"/>
      <c r="B16" s="48" t="inlineStr">
        <is>
          <t>数据出处：Clarksons SIN，2026-09-12 提取（燃油价为 2026-08 月均值）；每笔成交的船名和日期都写在 Inputs 的 I 列。提交前一周按最新 last done 统一刷新。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9" min="1" max="1"/>
    <col width="110" customWidth="1" style="49" min="2" max="2"/>
  </cols>
  <sheetData>
    <row r="1" ht="17.35" customHeight="1" s="42">
      <c r="A1" s="50" t="inlineStr">
        <is>
          <t>MT6102 · 12-Month Earnings Forecast (before OPEX)</t>
        </is>
      </c>
    </row>
    <row r="2" ht="15" customHeight="1" s="42">
      <c r="A2" s="51" t="inlineStr">
        <is>
          <t>USD 250m fleet: 2× MR + 1× Aframax + 2× Kamsarmax · data cut-off 12 Sep 2026 (Clarksons SIN), spot anchors refreshed to week of 9 Oct 2026 · forecast window Oct 2026 – Sep 2027</t>
        </is>
      </c>
    </row>
    <row r="4" ht="15" customHeight="1" s="42">
      <c r="B4" s="52" t="inlineStr">
        <is>
          <t>Core formula</t>
        </is>
      </c>
    </row>
    <row r="5" ht="15" customHeight="1" s="42">
      <c r="B5" s="53" t="inlineStr">
        <is>
          <t>Annual earnings (before OPEX) per ship = Daily TCE / TC rate × Operating days × (1 − commission)</t>
        </is>
      </c>
    </row>
    <row r="6" ht="15" customHeight="1" s="42">
      <c r="B6" s="53" t="inlineStr">
        <is>
          <t>Operating days = 365 − 15 off-hire days = 350 (covers the first special survey/drydock due on the 5-yr-old MRs).</t>
        </is>
      </c>
    </row>
    <row r="7" ht="15" customHeight="1" s="42">
      <c r="B7" s="53" t="inlineStr">
        <is>
          <t>Fleet earnings = Σ 5 ships. Return on capital = Fleet earnings ÷ USD 250m.</t>
        </is>
      </c>
    </row>
    <row r="8" ht="15" customHeight="1" s="42">
      <c r="B8" s="54" t="n"/>
    </row>
    <row r="9" ht="15" customHeight="1" s="42">
      <c r="B9" s="55" t="inlineStr">
        <is>
          <t>Why three scenarios — and why only two ships move</t>
        </is>
      </c>
    </row>
    <row r="10" ht="23.85" customHeight="1" s="42">
      <c r="B10" s="53" t="inlineStr">
        <is>
          <t>3 ships (MR#1 SUNCOR 1yr, Aframax AET-type 3yr, Kamsarmax#1 CNR 12m) are on fixed time charters → their income is identical in every scenario.</t>
        </is>
      </c>
    </row>
    <row r="11" ht="23.85" customHeight="1" s="42">
      <c r="B11" s="53" t="inlineStr">
        <is>
          <t>2 ships (MR#2, Kamsarmax#2) trade spot → their TCE is the only variable. Bear = 2025 average earnings; Base = last-done 1yr TC as spot-TCE proxy; Bull = current spot holds.</t>
        </is>
      </c>
    </row>
    <row r="12" ht="15" customHeight="1" s="42">
      <c r="B12" s="53" t="inlineStr">
        <is>
          <t>Expected value = probability-weighted average of the three scenarios (weights on Inputs sheet).</t>
        </is>
      </c>
    </row>
    <row r="13" ht="15" customHeight="1" s="42">
      <c r="B13" s="54" t="n"/>
    </row>
    <row r="14" ht="15" customHeight="1" s="42">
      <c r="B14" s="55" t="inlineStr">
        <is>
          <t>Sheet guide</t>
        </is>
      </c>
    </row>
    <row r="15" ht="23.85" customHeight="1" s="42">
      <c r="B15" s="53" t="inlineStr">
        <is>
          <t>Inputs — every number used, with its source. Yellow cells = assumptions you may change. Blue text = hard-coded input; black = formula; green = link from another sheet.</t>
        </is>
      </c>
    </row>
    <row r="16" ht="15" customHeight="1" s="42">
      <c r="B16" s="53" t="inlineStr">
        <is>
          <t>Forecast — per-ship annual earnings, three scenarios, expected value, return on capital, after-OPEX reference.</t>
        </is>
      </c>
    </row>
    <row r="17" ht="15" customHeight="1" s="42">
      <c r="B17" s="53" t="inlineStr">
        <is>
          <t>Monthly — 12-month month-by-month earnings for the scenario chosen in Inputs!C26 (1 = Bear, 2 = Base, 3 = Bull).</t>
        </is>
      </c>
    </row>
    <row r="18" ht="15" customHeight="1" s="42">
      <c r="B18" s="53" t="inlineStr">
        <is>
          <t>Sensitivity — fleet earnings and return for any combination of MR#2 and Kamsarmax#2 spot TCE.</t>
        </is>
      </c>
    </row>
    <row r="19" ht="23.85" customHeight="1" s="42">
      <c r="B19" s="53" t="inlineStr">
        <is>
          <t>Voyage_TCE — converts the last-done Kamsarmax freight rate (USD 25.60/t, DBCT→Vizag) into a daily TCE, as a cross-check on the spot assumption.</t>
        </is>
      </c>
    </row>
    <row r="20" ht="15" customHeight="1" s="42">
      <c r="B20" s="54" t="n"/>
    </row>
    <row r="21" ht="15" customHeight="1" s="42">
      <c r="B21" s="55" t="inlineStr">
        <is>
          <t>Caveats to state in the proposal</t>
        </is>
      </c>
    </row>
    <row r="22" ht="23.85" customHeight="1" s="42">
      <c r="B22" s="53" t="inlineStr">
        <is>
          <t>1. Forecast assumes all 5 ships are delivered at the start of the window; each month of delivery delay removes ~1/12 of that ship's earnings.</t>
        </is>
      </c>
    </row>
    <row r="23" ht="23.85" customHeight="1" s="42">
      <c r="B23" s="53" t="inlineStr">
        <is>
          <t>2. Bear/Bull spot TCEs for MR#2 and Kamsarmax#2 are taken directly from SIN earnings series (543759 MR Clean c2015 Eco; 533288 Kamsarmax c2015 Eco): Bear = 2025 full-year average, Bull = latest weekly value (week of 9 Oct 2026). Resulting fleet totals: Bear USD 44.7m (17.9%), Base USD 49.7m (19.9%), Bull USD 59.2m (23.7%); expected value (30/50/20) USD 50.1m (20.0%).</t>
        </is>
      </c>
    </row>
    <row r="24" ht="23.85" customHeight="1" s="42">
      <c r="B24" s="53" t="inlineStr">
        <is>
          <t>3. Commission is set to 0% to match the proposal's gross numbers. Industry practice is ~3.75% (address + brokerage); setting it reduces every scenario by the same %.</t>
        </is>
      </c>
    </row>
    <row r="25" ht="23.85" customHeight="1" s="42">
      <c r="B25" s="53" t="inlineStr">
        <is>
          <t>4. 'Before OPEX' = TCE level. For TC ships the charterer pays voyage costs; for spot ships the TCE already nets out bunkers, port and canal costs.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9" min="1" max="1"/>
    <col width="30" customWidth="1" style="49" min="2" max="2"/>
    <col width="14" customWidth="1" style="49" min="3" max="4"/>
    <col width="16" customWidth="1" style="49" min="5" max="7"/>
    <col width="4" customWidth="1" style="49" min="8" max="8"/>
    <col width="14" customWidth="1" style="49" min="9" max="9"/>
  </cols>
  <sheetData>
    <row r="1" ht="17.35" customHeight="1" s="42">
      <c r="A1" s="50" t="inlineStr">
        <is>
          <t>12-month earnings forecast — before OPEX</t>
        </is>
      </c>
    </row>
    <row r="2" ht="15" customHeight="1" s="42">
      <c r="A2" s="51" t="inlineStr">
        <is>
          <t>Earnings = TCE × operating days × (1 − commission). Green = link to Inputs.</t>
        </is>
      </c>
    </row>
    <row r="4" ht="23.85" customHeight="1" s="42">
      <c r="A4" s="56" t="inlineStr">
        <is>
          <t>#</t>
        </is>
      </c>
      <c r="B4" s="56" t="inlineStr">
        <is>
          <t>Ship</t>
        </is>
      </c>
      <c r="C4" s="56" t="inlineStr">
        <is>
          <t>Employment type</t>
        </is>
      </c>
      <c r="D4" s="56" t="inlineStr">
        <is>
          <t>Op. days</t>
        </is>
      </c>
      <c r="E4" s="56" t="inlineStr">
        <is>
          <t>Bear ($)</t>
        </is>
      </c>
      <c r="F4" s="56" t="inlineStr">
        <is>
          <t>Base ($)</t>
        </is>
      </c>
      <c r="G4" s="56" t="inlineStr">
        <is>
          <t>Bull ($)</t>
        </is>
      </c>
    </row>
    <row r="5" ht="15" customHeight="1" s="42">
      <c r="A5" s="57">
        <f>Inputs!A5</f>
        <v/>
      </c>
      <c r="B5" s="57">
        <f>Inputs!B5</f>
        <v/>
      </c>
      <c r="C5" s="58" t="inlineStr">
        <is>
          <t>Fixed TC</t>
        </is>
      </c>
      <c r="D5" s="59">
        <f>Inputs!$D$17</f>
        <v/>
      </c>
      <c r="E5" s="60">
        <f>Inputs!F5*$D5*(1-Inputs!$D$18)</f>
        <v/>
      </c>
      <c r="F5" s="60">
        <f>Inputs!G5*$D5*(1-Inputs!$D$18)</f>
        <v/>
      </c>
      <c r="G5" s="60">
        <f>Inputs!H5*$D5*(1-Inputs!$D$18)</f>
        <v/>
      </c>
    </row>
    <row r="6" ht="15" customHeight="1" s="42">
      <c r="A6" s="57">
        <f>Inputs!A6</f>
        <v/>
      </c>
      <c r="B6" s="57">
        <f>Inputs!B6</f>
        <v/>
      </c>
      <c r="C6" s="58" t="inlineStr">
        <is>
          <t>Spot</t>
        </is>
      </c>
      <c r="D6" s="59">
        <f>Inputs!$D$17</f>
        <v/>
      </c>
      <c r="E6" s="60">
        <f>Inputs!F6*$D6*(1-Inputs!$D$18)</f>
        <v/>
      </c>
      <c r="F6" s="60">
        <f>Inputs!G6*$D6*(1-Inputs!$D$18)</f>
        <v/>
      </c>
      <c r="G6" s="60">
        <f>Inputs!H6*$D6*(1-Inputs!$D$18)</f>
        <v/>
      </c>
    </row>
    <row r="7" ht="15" customHeight="1" s="42">
      <c r="A7" s="57">
        <f>Inputs!A7</f>
        <v/>
      </c>
      <c r="B7" s="57">
        <f>Inputs!B7</f>
        <v/>
      </c>
      <c r="C7" s="58" t="inlineStr">
        <is>
          <t>Fixed TC</t>
        </is>
      </c>
      <c r="D7" s="59">
        <f>Inputs!$D$17</f>
        <v/>
      </c>
      <c r="E7" s="60">
        <f>Inputs!F7*$D7*(1-Inputs!$D$18)</f>
        <v/>
      </c>
      <c r="F7" s="60">
        <f>Inputs!G7*$D7*(1-Inputs!$D$18)</f>
        <v/>
      </c>
      <c r="G7" s="60">
        <f>Inputs!H7*$D7*(1-Inputs!$D$18)</f>
        <v/>
      </c>
    </row>
    <row r="8" ht="15" customHeight="1" s="42">
      <c r="A8" s="57">
        <f>Inputs!A8</f>
        <v/>
      </c>
      <c r="B8" s="57">
        <f>Inputs!B8</f>
        <v/>
      </c>
      <c r="C8" s="58" t="inlineStr">
        <is>
          <t>Fixed TC</t>
        </is>
      </c>
      <c r="D8" s="59">
        <f>Inputs!$D$17</f>
        <v/>
      </c>
      <c r="E8" s="60">
        <f>Inputs!F8*$D8*(1-Inputs!$D$18)</f>
        <v/>
      </c>
      <c r="F8" s="60">
        <f>Inputs!G8*$D8*(1-Inputs!$D$18)</f>
        <v/>
      </c>
      <c r="G8" s="60">
        <f>Inputs!H8*$D8*(1-Inputs!$D$18)</f>
        <v/>
      </c>
    </row>
    <row r="9" ht="15" customHeight="1" s="42">
      <c r="A9" s="57">
        <f>Inputs!A9</f>
        <v/>
      </c>
      <c r="B9" s="57">
        <f>Inputs!B9</f>
        <v/>
      </c>
      <c r="C9" s="58" t="inlineStr">
        <is>
          <t>Spot</t>
        </is>
      </c>
      <c r="D9" s="59">
        <f>Inputs!$D$17</f>
        <v/>
      </c>
      <c r="E9" s="60">
        <f>Inputs!F9*$D9*(1-Inputs!$D$18)</f>
        <v/>
      </c>
      <c r="F9" s="60">
        <f>Inputs!G9*$D9*(1-Inputs!$D$18)</f>
        <v/>
      </c>
      <c r="G9" s="60">
        <f>Inputs!H9*$D9*(1-Inputs!$D$18)</f>
        <v/>
      </c>
    </row>
    <row r="10" ht="15" customHeight="1" s="42">
      <c r="B10" s="61" t="inlineStr">
        <is>
          <t>Fleet earnings before OPEX</t>
        </is>
      </c>
      <c r="C10" s="62" t="n"/>
      <c r="D10" s="62" t="n"/>
      <c r="E10" s="63">
        <f>SUM(E5:E9)</f>
        <v/>
      </c>
      <c r="F10" s="63">
        <f>SUM(F5:F9)</f>
        <v/>
      </c>
      <c r="G10" s="63">
        <f>SUM(G5:G9)</f>
        <v/>
      </c>
    </row>
    <row r="11" ht="15" customHeight="1" s="42">
      <c r="B11" s="58" t="inlineStr">
        <is>
          <t xml:space="preserve">  of which fixed-TC (locked)</t>
        </is>
      </c>
      <c r="E11" s="60">
        <f>SUMIF($C$5:$C$9,"Fixed TC",E5:E9)</f>
        <v/>
      </c>
      <c r="F11" s="60">
        <f>SUMIF($C$5:$C$9,"Fixed TC",F5:F9)</f>
        <v/>
      </c>
      <c r="G11" s="60">
        <f>SUMIF($C$5:$C$9,"Fixed TC",G5:G9)</f>
        <v/>
      </c>
    </row>
    <row r="12" ht="15" customHeight="1" s="42">
      <c r="B12" s="58" t="inlineStr">
        <is>
          <t xml:space="preserve">  of which spot (at risk)</t>
        </is>
      </c>
      <c r="E12" s="60">
        <f>SUMIF($C$5:$C$9,"Spot",E5:E9)</f>
        <v/>
      </c>
      <c r="F12" s="60">
        <f>SUMIF($C$5:$C$9,"Spot",F5:F9)</f>
        <v/>
      </c>
      <c r="G12" s="60">
        <f>SUMIF($C$5:$C$9,"Spot",G5:G9)</f>
        <v/>
      </c>
    </row>
    <row r="13" ht="15" customHeight="1" s="42">
      <c r="B13" s="58" t="inlineStr">
        <is>
          <t>Locked share of earnings</t>
        </is>
      </c>
      <c r="E13" s="64">
        <f>IF(E10=0,0,E11/E10)</f>
        <v/>
      </c>
      <c r="F13" s="64">
        <f>IF(F10=0,0,F11/F10)</f>
        <v/>
      </c>
      <c r="G13" s="64">
        <f>IF(G10=0,0,G11/G10)</f>
        <v/>
      </c>
    </row>
    <row r="14" ht="15" customHeight="1" s="42">
      <c r="B14" s="65" t="inlineStr">
        <is>
          <t>Return on capital (before OPEX)</t>
        </is>
      </c>
      <c r="E14" s="66">
        <f>E10/Inputs!$D$14</f>
        <v/>
      </c>
      <c r="F14" s="66">
        <f>F10/Inputs!$D$14</f>
        <v/>
      </c>
      <c r="G14" s="66">
        <f>G10/Inputs!$D$14</f>
        <v/>
      </c>
    </row>
    <row r="15" ht="15" customHeight="1" s="42">
      <c r="B15" s="58" t="inlineStr">
        <is>
          <t>Average fleet earnings ($/day)</t>
        </is>
      </c>
      <c r="E15" s="60">
        <f>E10/Inputs!$D$17</f>
        <v/>
      </c>
      <c r="F15" s="60">
        <f>F10/Inputs!$D$17</f>
        <v/>
      </c>
      <c r="G15" s="60">
        <f>G10/Inputs!$D$17</f>
        <v/>
      </c>
    </row>
    <row r="17" ht="15" customHeight="1" s="42">
      <c r="B17" s="65" t="inlineStr">
        <is>
          <t>Reference: after OPEX</t>
        </is>
      </c>
    </row>
    <row r="18" ht="15" customHeight="1" s="42">
      <c r="B18" s="58" t="inlineStr">
        <is>
          <t>Fleet OPEX for the year ($)</t>
        </is>
      </c>
      <c r="E18" s="60">
        <f>Inputs!$D$19*Inputs!$D$17</f>
        <v/>
      </c>
      <c r="F18" s="60">
        <f>Inputs!$D$19*Inputs!$D$17</f>
        <v/>
      </c>
      <c r="G18" s="60">
        <f>Inputs!$D$19*Inputs!$D$17</f>
        <v/>
      </c>
    </row>
    <row r="19" ht="15" customHeight="1" s="42">
      <c r="B19" s="58" t="inlineStr">
        <is>
          <t>Earnings after OPEX ($)</t>
        </is>
      </c>
      <c r="E19" s="60">
        <f>E10-E18</f>
        <v/>
      </c>
      <c r="F19" s="60">
        <f>F10-F18</f>
        <v/>
      </c>
      <c r="G19" s="60">
        <f>G10-G18</f>
        <v/>
      </c>
    </row>
    <row r="20" ht="15" customHeight="1" s="42">
      <c r="B20" s="58" t="inlineStr">
        <is>
          <t>Return after OPEX</t>
        </is>
      </c>
      <c r="E20" s="64">
        <f>E19/Inputs!$D$14</f>
        <v/>
      </c>
      <c r="F20" s="64">
        <f>F19/Inputs!$D$14</f>
        <v/>
      </c>
      <c r="G20" s="64">
        <f>G19/Inputs!$D$14</f>
        <v/>
      </c>
    </row>
    <row r="22" ht="15" customHeight="1" s="42">
      <c r="B22" s="67" t="inlineStr">
        <is>
          <t>Expected (probability-weighted) forecast</t>
        </is>
      </c>
    </row>
    <row r="23" ht="15" customHeight="1" s="42">
      <c r="B23" s="58" t="inlineStr">
        <is>
          <t>Scenario weight</t>
        </is>
      </c>
      <c r="E23" s="68">
        <f>Inputs!D21</f>
        <v/>
      </c>
      <c r="F23" s="68">
        <f>Inputs!D22</f>
        <v/>
      </c>
      <c r="G23" s="68">
        <f>Inputs!D23</f>
        <v/>
      </c>
    </row>
    <row r="24" ht="15" customHeight="1" s="42">
      <c r="B24" s="69" t="inlineStr">
        <is>
          <t>Expected earnings before OPEX ($)</t>
        </is>
      </c>
      <c r="G24" s="70">
        <f>SUMPRODUCT(E10:G10,E23:G23)</f>
        <v/>
      </c>
    </row>
    <row r="25" ht="15" customHeight="1" s="42">
      <c r="B25" s="69" t="inlineStr">
        <is>
          <t>Expected return on capital</t>
        </is>
      </c>
      <c r="G25" s="71">
        <f>G24/Inputs!D14</f>
        <v/>
      </c>
    </row>
    <row r="26" ht="15" customHeight="1" s="42">
      <c r="B26" s="58" t="inlineStr">
        <is>
          <t>Expected earnings after OPEX ($)</t>
        </is>
      </c>
      <c r="G26" s="60">
        <f>G24-E18</f>
        <v/>
      </c>
    </row>
    <row r="27" ht="15" customHeight="1" s="42">
      <c r="B27" s="58" t="inlineStr">
        <is>
          <t>Downside protection: Bear vs Base</t>
        </is>
      </c>
      <c r="G27" s="64">
        <f>E10/F10-1</f>
        <v/>
      </c>
    </row>
    <row r="29" ht="15" customHeight="1" s="42">
      <c r="B29" s="51" t="inlineStr">
        <is>
          <t>Note: only MR #2 and Kamsarmax #2 change between scenarios; the three time-chartered ships earn the same in every case.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49" min="1" max="1"/>
    <col width="26" customWidth="1" style="49" min="2" max="2"/>
    <col width="14" customWidth="1" style="49" min="3" max="3"/>
    <col width="16" customWidth="1" style="49" min="4" max="4"/>
    <col width="22" customWidth="1" style="49" min="5" max="5"/>
    <col width="13" customWidth="1" style="49" min="6" max="8"/>
    <col width="62" customWidth="1" style="49" min="9" max="9"/>
  </cols>
  <sheetData>
    <row r="1" ht="17.35" customHeight="1" s="42">
      <c r="A1" s="50" t="inlineStr">
        <is>
          <t>Inputs &amp; assumptions</t>
        </is>
      </c>
    </row>
    <row r="2" ht="15" customHeight="1" s="42">
      <c r="A2" s="51" t="inlineStr">
        <is>
          <t>Blue = hard-coded input · Yellow fill = key assumption you can change · prices/rates = Clarksons SIN last-done, extracted 12 Sep 2026; Bull spot legs and bunker price refreshed 15 Oct 2026 (week of 9 Oct / Sep monthly average)</t>
        </is>
      </c>
    </row>
    <row r="4" ht="23.85" customHeight="1" s="42">
      <c r="A4" s="56" t="inlineStr">
        <is>
          <t>#</t>
        </is>
      </c>
      <c r="B4" s="56" t="inlineStr">
        <is>
          <t>Ship</t>
        </is>
      </c>
      <c r="C4" s="56" t="inlineStr">
        <is>
          <t>Type</t>
        </is>
      </c>
      <c r="D4" s="56" t="inlineStr">
        <is>
          <t>Purchase price ($)</t>
        </is>
      </c>
      <c r="E4" s="56" t="inlineStr">
        <is>
          <t>Employment</t>
        </is>
      </c>
      <c r="F4" s="56" t="inlineStr">
        <is>
          <t>Bear TCE ($/day)</t>
        </is>
      </c>
      <c r="G4" s="56" t="inlineStr">
        <is>
          <t>Base TCE ($/day)</t>
        </is>
      </c>
      <c r="H4" s="56" t="inlineStr">
        <is>
          <t>Bull TCE ($/day)</t>
        </is>
      </c>
      <c r="I4" s="56" t="inlineStr">
        <is>
          <t>Source (last-done fixture / sale)</t>
        </is>
      </c>
    </row>
    <row r="5" ht="39.75" customHeight="1" s="42">
      <c r="A5" s="58" t="n">
        <v>1</v>
      </c>
      <c r="B5" s="65" t="inlineStr">
        <is>
          <t>MR #1 (50k dwt, ~5 yrs)</t>
        </is>
      </c>
      <c r="C5" s="58" t="inlineStr">
        <is>
          <t>MR product</t>
        </is>
      </c>
      <c r="D5" s="72" t="n">
        <v>50000000</v>
      </c>
      <c r="E5" s="58" t="inlineStr">
        <is>
          <t>1-yr TC – SUNCOR</t>
        </is>
      </c>
      <c r="F5" s="72" t="n">
        <v>30000</v>
      </c>
      <c r="G5" s="72" t="n">
        <v>30000</v>
      </c>
      <c r="H5" s="72" t="n">
        <v>30000</v>
      </c>
      <c r="I5" s="73" t="inlineStr">
        <is>
          <t>TC: PS Imabari 52.8k, SUNCOR, 1yr @ $30,000/d (17 Aug 2026). Price: SIN 5-yr MR valuation series 47130 = $50.0m</t>
        </is>
      </c>
    </row>
    <row r="6" ht="39.75" customHeight="1" s="42">
      <c r="A6" s="58" t="n">
        <v>2</v>
      </c>
      <c r="B6" s="65" t="inlineStr">
        <is>
          <t>MR #2 (50k dwt, ~5 yrs)</t>
        </is>
      </c>
      <c r="C6" s="58" t="inlineStr">
        <is>
          <t>MR product</t>
        </is>
      </c>
      <c r="D6" s="72" t="n">
        <v>50000000</v>
      </c>
      <c r="E6" s="58" t="inlineStr">
        <is>
          <t>Spot (ME/India → EAF, SE Asia)</t>
        </is>
      </c>
      <c r="F6" s="74" t="n">
        <v>22950</v>
      </c>
      <c r="G6" s="74" t="n">
        <v>27000</v>
      </c>
      <c r="H6" s="74" t="n">
        <v>53741</v>
      </c>
      <c r="I6" s="73" t="inlineStr">
        <is>
          <t>Base: Challenge Pollux 50k, EXXONMOBIL, 1yr @ $27,000/d (17 Aug 2026) as spot-TCE proxy. Bear = 2025 full-year average of SIN series 543759 (Avg MR Clean c2015 Eco Earnings) = $22,949/d. Bull = latest weekly value of the same series, week of 9 Oct 2026 = $53,741/d (11 Sep value was $35,804). Spot ref: Baltic→USG WS105 (VITOL, 10 Sep). Note: SIN 1-yr MR Eco TC assessment rose to $43,000/d in Oct 2026; replace base with the October last-done fixture at the final data cut.</t>
        </is>
      </c>
    </row>
    <row r="7" ht="39.75" customHeight="1" s="42">
      <c r="A7" s="58" t="n">
        <v>3</v>
      </c>
      <c r="B7" s="65" t="inlineStr">
        <is>
          <t>Aframax (109k dwt, 2018 Japan)</t>
        </is>
      </c>
      <c r="C7" s="58" t="inlineStr">
        <is>
          <t>Aframax crude</t>
        </is>
      </c>
      <c r="D7" s="72" t="n">
        <v>75000000</v>
      </c>
      <c r="E7" s="58" t="inlineStr">
        <is>
          <t>3-yr TC (AET benchmark)</t>
        </is>
      </c>
      <c r="F7" s="72" t="n">
        <v>40000</v>
      </c>
      <c r="G7" s="72" t="n">
        <v>40000</v>
      </c>
      <c r="H7" s="72" t="n">
        <v>40000</v>
      </c>
      <c r="I7" s="73" t="inlineStr">
        <is>
          <t>TC: Torm Genesis 119k, AET, 3yr @ $40,000/d (31 Aug 2026). Price: Southern Reverence / Pusaka Borneo 2018 Japan @ $75.0m (May/Apr 2026)</t>
        </is>
      </c>
    </row>
    <row r="8" ht="39.75" customHeight="1" s="42">
      <c r="A8" s="58" t="n">
        <v>4</v>
      </c>
      <c r="B8" s="65" t="inlineStr">
        <is>
          <t>Kamsarmax #1 (82k, 2019 Japan)</t>
        </is>
      </c>
      <c r="C8" s="58" t="inlineStr">
        <is>
          <t>Kamsarmax bulk</t>
        </is>
      </c>
      <c r="D8" s="72" t="n">
        <v>38000000</v>
      </c>
      <c r="E8" s="58" t="inlineStr">
        <is>
          <t>12-m TC – CNR</t>
        </is>
      </c>
      <c r="F8" s="72" t="n">
        <v>22000</v>
      </c>
      <c r="G8" s="72" t="n">
        <v>22000</v>
      </c>
      <c r="H8" s="72" t="n">
        <v>22000</v>
      </c>
      <c r="I8" s="73" t="inlineStr">
        <is>
          <t>TC: Intensity 82k, CNR, 12m @ $22,000/d (7 Sep 2026). Price: Aquavita Aim 82k 2019 Oshima @ $38.0m (10 Aug 2026)</t>
        </is>
      </c>
    </row>
    <row r="9" ht="39.75" customHeight="1" s="42">
      <c r="A9" s="58" t="n">
        <v>5</v>
      </c>
      <c r="B9" s="65" t="inlineStr">
        <is>
          <t>Kamsarmax #2 (82k, 2015 Japan)</t>
        </is>
      </c>
      <c r="C9" s="58" t="inlineStr">
        <is>
          <t>Kamsarmax bulk</t>
        </is>
      </c>
      <c r="D9" s="72" t="n">
        <v>32000000</v>
      </c>
      <c r="E9" s="58" t="inlineStr">
        <is>
          <t>Spot (Guinea bauxite, Aus coal, grain)</t>
        </is>
      </c>
      <c r="F9" s="74" t="n">
        <v>12880</v>
      </c>
      <c r="G9" s="74" t="n">
        <v>23000</v>
      </c>
      <c r="H9" s="74" t="n">
        <v>23389</v>
      </c>
      <c r="I9" s="73" t="inlineStr">
        <is>
          <t>Base: XH Hope 85k, CARGILL, 10-12m @ $23,000/d (3 Sep 2026). Bear = 2025 full-year average of SIN series 533288 (Avg Kamsarmax c2015 Eco Earnings) = $12,878/d. Bull = latest weekly value of the same series, week of 9 Oct 2026 = $23,389/d (11 Sep value was $24,484). Spot ref: DBCT→Vizag coal $25.60/t (SAIL, 10 Sep) → Voyage_TCE. Price: Medi Positano 2015 Japan @ $32.0m</t>
        </is>
      </c>
    </row>
    <row r="10" ht="15" customHeight="1" s="42">
      <c r="B10" s="61" t="inlineStr">
        <is>
          <t>Fleet total</t>
        </is>
      </c>
      <c r="D10" s="63">
        <f>SUM(D5:D9)</f>
        <v/>
      </c>
      <c r="F10" s="63">
        <f>SUM(F5:F9)</f>
        <v/>
      </c>
      <c r="G10" s="63">
        <f>SUM(G5:G9)</f>
        <v/>
      </c>
      <c r="H10" s="63">
        <f>SUM(H5:H9)</f>
        <v/>
      </c>
    </row>
    <row r="11" ht="15" customHeight="1" s="42">
      <c r="B11" s="58" t="inlineStr">
        <is>
          <t>Cash reserve</t>
        </is>
      </c>
      <c r="D11" s="60">
        <f>D14-D10</f>
        <v/>
      </c>
      <c r="I11" s="58" t="inlineStr">
        <is>
          <t>Kept for counter-cyclical purchase + working capital (proposal p.1)</t>
        </is>
      </c>
    </row>
    <row r="13" ht="15" customHeight="1" s="42">
      <c r="B13" s="67" t="inlineStr">
        <is>
          <t>General parameters</t>
        </is>
      </c>
    </row>
    <row r="14" ht="15" customHeight="1" s="42">
      <c r="B14" s="58" t="inlineStr">
        <is>
          <t>Capital deployed ($)</t>
        </is>
      </c>
      <c r="D14" s="72" t="n">
        <v>250000000</v>
      </c>
      <c r="E14" s="51" t="inlineStr">
        <is>
          <t>Board mandate</t>
        </is>
      </c>
    </row>
    <row r="15" ht="15" customHeight="1" s="42">
      <c r="B15" s="58" t="inlineStr">
        <is>
          <t>Days in forecast year</t>
        </is>
      </c>
      <c r="D15" s="75" t="n">
        <v>365</v>
      </c>
      <c r="E15" s="51" t="inlineStr">
        <is>
          <t>Oct 2026 – Sep 2027</t>
        </is>
      </c>
    </row>
    <row r="16" ht="15" customHeight="1" s="42">
      <c r="B16" s="58" t="inlineStr">
        <is>
          <t>Off-hire days per ship</t>
        </is>
      </c>
      <c r="D16" s="76" t="n">
        <v>15</v>
      </c>
      <c r="E16" s="51" t="inlineStr">
        <is>
          <t>Industry convention: repairs, surveys, drydock (proposal p.8)</t>
        </is>
      </c>
    </row>
    <row r="17" ht="15" customHeight="1" s="42">
      <c r="B17" s="58" t="inlineStr">
        <is>
          <t>Operating days per ship</t>
        </is>
      </c>
      <c r="D17" s="77">
        <f>D15-D16</f>
        <v/>
      </c>
      <c r="E17" s="51" t="inlineStr">
        <is>
          <t>Formula</t>
        </is>
      </c>
    </row>
    <row r="18" ht="15" customHeight="1" s="42">
      <c r="B18" s="58" t="inlineStr">
        <is>
          <t>Commission on gross hire (%)</t>
        </is>
      </c>
      <c r="D18" s="78" t="n">
        <v>0</v>
      </c>
      <c r="E18" s="51" t="inlineStr">
        <is>
          <t>0% to match proposal gross figures; typical 3.75% (1.25% brokerage + 2.5% address)</t>
        </is>
      </c>
    </row>
    <row r="19" ht="15" customHeight="1" s="42">
      <c r="B19" s="58" t="inlineStr">
        <is>
          <t>Fleet OPEX ($/day, 5 ships)</t>
        </is>
      </c>
      <c r="D19" s="72" t="n">
        <v>36560</v>
      </c>
      <c r="E19" s="51" t="inlineStr">
        <is>
          <t>Clarksons OPEX series 540687 / 540689 / 540683 (crew, insurance, R&amp;M) — reference only</t>
        </is>
      </c>
    </row>
    <row r="21" ht="15" customHeight="1" s="42">
      <c r="B21" s="58" t="inlineStr">
        <is>
          <t>Scenario weight – Bear</t>
        </is>
      </c>
      <c r="D21" s="78" t="n">
        <v>0.3</v>
      </c>
      <c r="E21" s="51" t="inlineStr">
        <is>
          <t>Group judgement: ceasefire / recession risk</t>
        </is>
      </c>
    </row>
    <row r="22" ht="15" customHeight="1" s="42">
      <c r="B22" s="58" t="inlineStr">
        <is>
          <t>Scenario weight – Base</t>
        </is>
      </c>
      <c r="D22" s="78" t="n">
        <v>0.5</v>
      </c>
      <c r="E22" s="51" t="inlineStr">
        <is>
          <t>Group judgement: last-done fixtures persist</t>
        </is>
      </c>
    </row>
    <row r="23" ht="15" customHeight="1" s="42">
      <c r="B23" s="58" t="inlineStr">
        <is>
          <t>Scenario weight – Bull</t>
        </is>
      </c>
      <c r="D23" s="78" t="n">
        <v>0.2</v>
      </c>
      <c r="E23" s="51" t="inlineStr">
        <is>
          <t>Group judgement: current spot strength persists 12 months</t>
        </is>
      </c>
    </row>
    <row r="24" ht="15" customHeight="1" s="42">
      <c r="B24" s="58" t="inlineStr">
        <is>
          <t>Check: weights sum to 100%</t>
        </is>
      </c>
      <c r="D24" s="58">
        <f>IF(ROUND(SUM(D21:D23),6)=1,"OK","ERROR – weights ≠ 100%")</f>
        <v/>
      </c>
      <c r="E24" s="51" t="n"/>
    </row>
    <row r="26" ht="15" customHeight="1" s="42">
      <c r="B26" s="58" t="inlineStr">
        <is>
          <t>Scenario shown on Monthly sheet</t>
        </is>
      </c>
      <c r="D26" s="76" t="n">
        <v>2</v>
      </c>
      <c r="E26" s="51" t="inlineStr">
        <is>
          <t>1 = Bear · 2 = Base · 3 = Bull</t>
        </is>
      </c>
    </row>
  </sheetData>
  <mergeCells count="11">
    <mergeCell ref="E21:I21"/>
    <mergeCell ref="E15:I15"/>
    <mergeCell ref="E16:I16"/>
    <mergeCell ref="E24:I24"/>
    <mergeCell ref="E19:I19"/>
    <mergeCell ref="E23:I23"/>
    <mergeCell ref="E22:I22"/>
    <mergeCell ref="E14:I14"/>
    <mergeCell ref="E17:I17"/>
    <mergeCell ref="E26:I26"/>
    <mergeCell ref="E18:I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49" min="1" max="1"/>
    <col width="13" customWidth="1" style="49" min="2" max="2"/>
    <col width="12" customWidth="1" style="49" min="3" max="14"/>
    <col width="14" customWidth="1" style="49" min="15" max="15"/>
  </cols>
  <sheetData>
    <row r="1" ht="17.35" customHeight="1" s="42">
      <c r="A1" s="50" t="inlineStr">
        <is>
          <t>Month-by-month earnings before OPEX</t>
        </is>
      </c>
    </row>
    <row r="2" ht="15" customHeight="1" s="42">
      <c r="A2" s="51" t="inlineStr">
        <is>
          <t>Scenario per Inputs!D26. Monthly = TCE × calendar days × (operating days ÷ 365) × (1 − commission): off-hire spread evenly.</t>
        </is>
      </c>
    </row>
    <row r="3" ht="15" customHeight="1" s="42">
      <c r="A3" s="65" t="inlineStr">
        <is>
          <t>Scenario shown:</t>
        </is>
      </c>
      <c r="B3" s="69">
        <f>CHOOSE(Inputs!D26,"Bear","Base","Bull")</f>
        <v/>
      </c>
    </row>
    <row r="5" ht="15" customHeight="1" s="42">
      <c r="A5" s="56" t="inlineStr">
        <is>
          <t>Ship</t>
        </is>
      </c>
      <c r="B5" s="56" t="inlineStr">
        <is>
          <t>TCE ($/day)</t>
        </is>
      </c>
      <c r="C5" s="56" t="inlineStr">
        <is>
          <t>Oct-26</t>
        </is>
      </c>
      <c r="D5" s="56" t="inlineStr">
        <is>
          <t>Nov-26</t>
        </is>
      </c>
      <c r="E5" s="56" t="inlineStr">
        <is>
          <t>Dec-26</t>
        </is>
      </c>
      <c r="F5" s="56" t="inlineStr">
        <is>
          <t>Jan-27</t>
        </is>
      </c>
      <c r="G5" s="56" t="inlineStr">
        <is>
          <t>Feb-27</t>
        </is>
      </c>
      <c r="H5" s="56" t="inlineStr">
        <is>
          <t>Mar-27</t>
        </is>
      </c>
      <c r="I5" s="56" t="inlineStr">
        <is>
          <t>Apr-27</t>
        </is>
      </c>
      <c r="J5" s="56" t="inlineStr">
        <is>
          <t>May-27</t>
        </is>
      </c>
      <c r="K5" s="56" t="inlineStr">
        <is>
          <t>Jun-27</t>
        </is>
      </c>
      <c r="L5" s="56" t="inlineStr">
        <is>
          <t>Jul-27</t>
        </is>
      </c>
      <c r="M5" s="56" t="inlineStr">
        <is>
          <t>Aug-27</t>
        </is>
      </c>
      <c r="N5" s="56" t="inlineStr">
        <is>
          <t>Sep-27</t>
        </is>
      </c>
      <c r="O5" s="56" t="inlineStr">
        <is>
          <t>12-m total</t>
        </is>
      </c>
    </row>
    <row r="6" ht="15" customHeight="1" s="42">
      <c r="A6" s="65" t="inlineStr">
        <is>
          <t>Calendar days</t>
        </is>
      </c>
      <c r="C6" s="75" t="n">
        <v>31</v>
      </c>
      <c r="D6" s="75" t="n">
        <v>30</v>
      </c>
      <c r="E6" s="75" t="n">
        <v>31</v>
      </c>
      <c r="F6" s="75" t="n">
        <v>31</v>
      </c>
      <c r="G6" s="75" t="n">
        <v>28</v>
      </c>
      <c r="H6" s="75" t="n">
        <v>31</v>
      </c>
      <c r="I6" s="75" t="n">
        <v>30</v>
      </c>
      <c r="J6" s="75" t="n">
        <v>31</v>
      </c>
      <c r="K6" s="75" t="n">
        <v>30</v>
      </c>
      <c r="L6" s="75" t="n">
        <v>31</v>
      </c>
      <c r="M6" s="75" t="n">
        <v>31</v>
      </c>
      <c r="N6" s="75" t="n">
        <v>30</v>
      </c>
      <c r="O6" s="77">
        <f>SUM(C6:N6)</f>
        <v/>
      </c>
    </row>
    <row r="7" ht="15" customHeight="1" s="42">
      <c r="A7" s="57">
        <f>Inputs!B5</f>
        <v/>
      </c>
      <c r="B7" s="79">
        <f>CHOOSE(Inputs!$D$26,Inputs!F5,Inputs!G5,Inputs!H5)</f>
        <v/>
      </c>
      <c r="C7" s="60">
        <f>$B7*C$6*Inputs!$D$17/Inputs!$D$15*(1-Inputs!$D$18)</f>
        <v/>
      </c>
      <c r="D7" s="60">
        <f>$B7*D$6*Inputs!$D$17/Inputs!$D$15*(1-Inputs!$D$18)</f>
        <v/>
      </c>
      <c r="E7" s="60">
        <f>$B7*E$6*Inputs!$D$17/Inputs!$D$15*(1-Inputs!$D$18)</f>
        <v/>
      </c>
      <c r="F7" s="60">
        <f>$B7*F$6*Inputs!$D$17/Inputs!$D$15*(1-Inputs!$D$18)</f>
        <v/>
      </c>
      <c r="G7" s="60">
        <f>$B7*G$6*Inputs!$D$17/Inputs!$D$15*(1-Inputs!$D$18)</f>
        <v/>
      </c>
      <c r="H7" s="60">
        <f>$B7*H$6*Inputs!$D$17/Inputs!$D$15*(1-Inputs!$D$18)</f>
        <v/>
      </c>
      <c r="I7" s="60">
        <f>$B7*I$6*Inputs!$D$17/Inputs!$D$15*(1-Inputs!$D$18)</f>
        <v/>
      </c>
      <c r="J7" s="60">
        <f>$B7*J$6*Inputs!$D$17/Inputs!$D$15*(1-Inputs!$D$18)</f>
        <v/>
      </c>
      <c r="K7" s="60">
        <f>$B7*K$6*Inputs!$D$17/Inputs!$D$15*(1-Inputs!$D$18)</f>
        <v/>
      </c>
      <c r="L7" s="60">
        <f>$B7*L$6*Inputs!$D$17/Inputs!$D$15*(1-Inputs!$D$18)</f>
        <v/>
      </c>
      <c r="M7" s="60">
        <f>$B7*M$6*Inputs!$D$17/Inputs!$D$15*(1-Inputs!$D$18)</f>
        <v/>
      </c>
      <c r="N7" s="60">
        <f>$B7*N$6*Inputs!$D$17/Inputs!$D$15*(1-Inputs!$D$18)</f>
        <v/>
      </c>
      <c r="O7" s="80">
        <f>SUM(C7:N7)</f>
        <v/>
      </c>
    </row>
    <row r="8" ht="15" customHeight="1" s="42">
      <c r="A8" s="57">
        <f>Inputs!B6</f>
        <v/>
      </c>
      <c r="B8" s="79">
        <f>CHOOSE(Inputs!$D$26,Inputs!F6,Inputs!G6,Inputs!H6)</f>
        <v/>
      </c>
      <c r="C8" s="60">
        <f>$B8*C$6*Inputs!$D$17/Inputs!$D$15*(1-Inputs!$D$18)</f>
        <v/>
      </c>
      <c r="D8" s="60">
        <f>$B8*D$6*Inputs!$D$17/Inputs!$D$15*(1-Inputs!$D$18)</f>
        <v/>
      </c>
      <c r="E8" s="60">
        <f>$B8*E$6*Inputs!$D$17/Inputs!$D$15*(1-Inputs!$D$18)</f>
        <v/>
      </c>
      <c r="F8" s="60">
        <f>$B8*F$6*Inputs!$D$17/Inputs!$D$15*(1-Inputs!$D$18)</f>
        <v/>
      </c>
      <c r="G8" s="60">
        <f>$B8*G$6*Inputs!$D$17/Inputs!$D$15*(1-Inputs!$D$18)</f>
        <v/>
      </c>
      <c r="H8" s="60">
        <f>$B8*H$6*Inputs!$D$17/Inputs!$D$15*(1-Inputs!$D$18)</f>
        <v/>
      </c>
      <c r="I8" s="60">
        <f>$B8*I$6*Inputs!$D$17/Inputs!$D$15*(1-Inputs!$D$18)</f>
        <v/>
      </c>
      <c r="J8" s="60">
        <f>$B8*J$6*Inputs!$D$17/Inputs!$D$15*(1-Inputs!$D$18)</f>
        <v/>
      </c>
      <c r="K8" s="60">
        <f>$B8*K$6*Inputs!$D$17/Inputs!$D$15*(1-Inputs!$D$18)</f>
        <v/>
      </c>
      <c r="L8" s="60">
        <f>$B8*L$6*Inputs!$D$17/Inputs!$D$15*(1-Inputs!$D$18)</f>
        <v/>
      </c>
      <c r="M8" s="60">
        <f>$B8*M$6*Inputs!$D$17/Inputs!$D$15*(1-Inputs!$D$18)</f>
        <v/>
      </c>
      <c r="N8" s="60">
        <f>$B8*N$6*Inputs!$D$17/Inputs!$D$15*(1-Inputs!$D$18)</f>
        <v/>
      </c>
      <c r="O8" s="80">
        <f>SUM(C8:N8)</f>
        <v/>
      </c>
    </row>
    <row r="9" ht="15" customHeight="1" s="42">
      <c r="A9" s="57">
        <f>Inputs!B7</f>
        <v/>
      </c>
      <c r="B9" s="79">
        <f>CHOOSE(Inputs!$D$26,Inputs!F7,Inputs!G7,Inputs!H7)</f>
        <v/>
      </c>
      <c r="C9" s="60">
        <f>$B9*C$6*Inputs!$D$17/Inputs!$D$15*(1-Inputs!$D$18)</f>
        <v/>
      </c>
      <c r="D9" s="60">
        <f>$B9*D$6*Inputs!$D$17/Inputs!$D$15*(1-Inputs!$D$18)</f>
        <v/>
      </c>
      <c r="E9" s="60">
        <f>$B9*E$6*Inputs!$D$17/Inputs!$D$15*(1-Inputs!$D$18)</f>
        <v/>
      </c>
      <c r="F9" s="60">
        <f>$B9*F$6*Inputs!$D$17/Inputs!$D$15*(1-Inputs!$D$18)</f>
        <v/>
      </c>
      <c r="G9" s="60">
        <f>$B9*G$6*Inputs!$D$17/Inputs!$D$15*(1-Inputs!$D$18)</f>
        <v/>
      </c>
      <c r="H9" s="60">
        <f>$B9*H$6*Inputs!$D$17/Inputs!$D$15*(1-Inputs!$D$18)</f>
        <v/>
      </c>
      <c r="I9" s="60">
        <f>$B9*I$6*Inputs!$D$17/Inputs!$D$15*(1-Inputs!$D$18)</f>
        <v/>
      </c>
      <c r="J9" s="60">
        <f>$B9*J$6*Inputs!$D$17/Inputs!$D$15*(1-Inputs!$D$18)</f>
        <v/>
      </c>
      <c r="K9" s="60">
        <f>$B9*K$6*Inputs!$D$17/Inputs!$D$15*(1-Inputs!$D$18)</f>
        <v/>
      </c>
      <c r="L9" s="60">
        <f>$B9*L$6*Inputs!$D$17/Inputs!$D$15*(1-Inputs!$D$18)</f>
        <v/>
      </c>
      <c r="M9" s="60">
        <f>$B9*M$6*Inputs!$D$17/Inputs!$D$15*(1-Inputs!$D$18)</f>
        <v/>
      </c>
      <c r="N9" s="60">
        <f>$B9*N$6*Inputs!$D$17/Inputs!$D$15*(1-Inputs!$D$18)</f>
        <v/>
      </c>
      <c r="O9" s="80">
        <f>SUM(C9:N9)</f>
        <v/>
      </c>
    </row>
    <row r="10" ht="15" customHeight="1" s="42">
      <c r="A10" s="57">
        <f>Inputs!B8</f>
        <v/>
      </c>
      <c r="B10" s="79">
        <f>CHOOSE(Inputs!$D$26,Inputs!F8,Inputs!G8,Inputs!H8)</f>
        <v/>
      </c>
      <c r="C10" s="60">
        <f>$B10*C$6*Inputs!$D$17/Inputs!$D$15*(1-Inputs!$D$18)</f>
        <v/>
      </c>
      <c r="D10" s="60">
        <f>$B10*D$6*Inputs!$D$17/Inputs!$D$15*(1-Inputs!$D$18)</f>
        <v/>
      </c>
      <c r="E10" s="60">
        <f>$B10*E$6*Inputs!$D$17/Inputs!$D$15*(1-Inputs!$D$18)</f>
        <v/>
      </c>
      <c r="F10" s="60">
        <f>$B10*F$6*Inputs!$D$17/Inputs!$D$15*(1-Inputs!$D$18)</f>
        <v/>
      </c>
      <c r="G10" s="60">
        <f>$B10*G$6*Inputs!$D$17/Inputs!$D$15*(1-Inputs!$D$18)</f>
        <v/>
      </c>
      <c r="H10" s="60">
        <f>$B10*H$6*Inputs!$D$17/Inputs!$D$15*(1-Inputs!$D$18)</f>
        <v/>
      </c>
      <c r="I10" s="60">
        <f>$B10*I$6*Inputs!$D$17/Inputs!$D$15*(1-Inputs!$D$18)</f>
        <v/>
      </c>
      <c r="J10" s="60">
        <f>$B10*J$6*Inputs!$D$17/Inputs!$D$15*(1-Inputs!$D$18)</f>
        <v/>
      </c>
      <c r="K10" s="60">
        <f>$B10*K$6*Inputs!$D$17/Inputs!$D$15*(1-Inputs!$D$18)</f>
        <v/>
      </c>
      <c r="L10" s="60">
        <f>$B10*L$6*Inputs!$D$17/Inputs!$D$15*(1-Inputs!$D$18)</f>
        <v/>
      </c>
      <c r="M10" s="60">
        <f>$B10*M$6*Inputs!$D$17/Inputs!$D$15*(1-Inputs!$D$18)</f>
        <v/>
      </c>
      <c r="N10" s="60">
        <f>$B10*N$6*Inputs!$D$17/Inputs!$D$15*(1-Inputs!$D$18)</f>
        <v/>
      </c>
      <c r="O10" s="80">
        <f>SUM(C10:N10)</f>
        <v/>
      </c>
    </row>
    <row r="11" ht="15" customHeight="1" s="42">
      <c r="A11" s="57">
        <f>Inputs!B9</f>
        <v/>
      </c>
      <c r="B11" s="79">
        <f>CHOOSE(Inputs!$D$26,Inputs!F9,Inputs!G9,Inputs!H9)</f>
        <v/>
      </c>
      <c r="C11" s="60">
        <f>$B11*C$6*Inputs!$D$17/Inputs!$D$15*(1-Inputs!$D$18)</f>
        <v/>
      </c>
      <c r="D11" s="60">
        <f>$B11*D$6*Inputs!$D$17/Inputs!$D$15*(1-Inputs!$D$18)</f>
        <v/>
      </c>
      <c r="E11" s="60">
        <f>$B11*E$6*Inputs!$D$17/Inputs!$D$15*(1-Inputs!$D$18)</f>
        <v/>
      </c>
      <c r="F11" s="60">
        <f>$B11*F$6*Inputs!$D$17/Inputs!$D$15*(1-Inputs!$D$18)</f>
        <v/>
      </c>
      <c r="G11" s="60">
        <f>$B11*G$6*Inputs!$D$17/Inputs!$D$15*(1-Inputs!$D$18)</f>
        <v/>
      </c>
      <c r="H11" s="60">
        <f>$B11*H$6*Inputs!$D$17/Inputs!$D$15*(1-Inputs!$D$18)</f>
        <v/>
      </c>
      <c r="I11" s="60">
        <f>$B11*I$6*Inputs!$D$17/Inputs!$D$15*(1-Inputs!$D$18)</f>
        <v/>
      </c>
      <c r="J11" s="60">
        <f>$B11*J$6*Inputs!$D$17/Inputs!$D$15*(1-Inputs!$D$18)</f>
        <v/>
      </c>
      <c r="K11" s="60">
        <f>$B11*K$6*Inputs!$D$17/Inputs!$D$15*(1-Inputs!$D$18)</f>
        <v/>
      </c>
      <c r="L11" s="60">
        <f>$B11*L$6*Inputs!$D$17/Inputs!$D$15*(1-Inputs!$D$18)</f>
        <v/>
      </c>
      <c r="M11" s="60">
        <f>$B11*M$6*Inputs!$D$17/Inputs!$D$15*(1-Inputs!$D$18)</f>
        <v/>
      </c>
      <c r="N11" s="60">
        <f>$B11*N$6*Inputs!$D$17/Inputs!$D$15*(1-Inputs!$D$18)</f>
        <v/>
      </c>
      <c r="O11" s="80">
        <f>SUM(C11:N11)</f>
        <v/>
      </c>
    </row>
    <row r="12" ht="15" customHeight="1" s="42">
      <c r="A12" s="61" t="inlineStr">
        <is>
          <t>Fleet total</t>
        </is>
      </c>
      <c r="C12" s="63">
        <f>SUM(C7:C11)</f>
        <v/>
      </c>
      <c r="D12" s="63">
        <f>SUM(D7:D11)</f>
        <v/>
      </c>
      <c r="E12" s="63">
        <f>SUM(E7:E11)</f>
        <v/>
      </c>
      <c r="F12" s="63">
        <f>SUM(F7:F11)</f>
        <v/>
      </c>
      <c r="G12" s="63">
        <f>SUM(G7:G11)</f>
        <v/>
      </c>
      <c r="H12" s="63">
        <f>SUM(H7:H11)</f>
        <v/>
      </c>
      <c r="I12" s="63">
        <f>SUM(I7:I11)</f>
        <v/>
      </c>
      <c r="J12" s="63">
        <f>SUM(J7:J11)</f>
        <v/>
      </c>
      <c r="K12" s="63">
        <f>SUM(K7:K11)</f>
        <v/>
      </c>
      <c r="L12" s="63">
        <f>SUM(L7:L11)</f>
        <v/>
      </c>
      <c r="M12" s="63">
        <f>SUM(M7:M11)</f>
        <v/>
      </c>
      <c r="N12" s="63">
        <f>SUM(N7:N11)</f>
        <v/>
      </c>
      <c r="O12" s="63">
        <f>SUM(O7:O11)</f>
        <v/>
      </c>
    </row>
    <row r="13" ht="15" customHeight="1" s="42">
      <c r="A13" s="58" t="inlineStr">
        <is>
          <t xml:space="preserve">  Fixed-TC ships (MR#1, Aframax, Kams#1)</t>
        </is>
      </c>
      <c r="C13" s="60">
        <f>C7+C9+C10</f>
        <v/>
      </c>
      <c r="D13" s="60">
        <f>D7+D9+D10</f>
        <v/>
      </c>
      <c r="E13" s="60">
        <f>E7+E9+E10</f>
        <v/>
      </c>
      <c r="F13" s="60">
        <f>F7+F9+F10</f>
        <v/>
      </c>
      <c r="G13" s="60">
        <f>G7+G9+G10</f>
        <v/>
      </c>
      <c r="H13" s="60">
        <f>H7+H9+H10</f>
        <v/>
      </c>
      <c r="I13" s="60">
        <f>I7+I9+I10</f>
        <v/>
      </c>
      <c r="J13" s="60">
        <f>J7+J9+J10</f>
        <v/>
      </c>
      <c r="K13" s="60">
        <f>K7+K9+K10</f>
        <v/>
      </c>
      <c r="L13" s="60">
        <f>L7+L9+L10</f>
        <v/>
      </c>
      <c r="M13" s="60">
        <f>M7+M9+M10</f>
        <v/>
      </c>
      <c r="N13" s="60">
        <f>N7+N9+N10</f>
        <v/>
      </c>
      <c r="O13" s="80">
        <f>O7+O9+O10</f>
        <v/>
      </c>
    </row>
    <row r="14" ht="15" customHeight="1" s="42">
      <c r="A14" s="58" t="inlineStr">
        <is>
          <t xml:space="preserve">  Spot ships (MR#2, Kams#2)</t>
        </is>
      </c>
      <c r="C14" s="60">
        <f>C8+C11</f>
        <v/>
      </c>
      <c r="D14" s="60">
        <f>D8+D11</f>
        <v/>
      </c>
      <c r="E14" s="60">
        <f>E8+E11</f>
        <v/>
      </c>
      <c r="F14" s="60">
        <f>F8+F11</f>
        <v/>
      </c>
      <c r="G14" s="60">
        <f>G8+G11</f>
        <v/>
      </c>
      <c r="H14" s="60">
        <f>H8+H11</f>
        <v/>
      </c>
      <c r="I14" s="60">
        <f>I8+I11</f>
        <v/>
      </c>
      <c r="J14" s="60">
        <f>J8+J11</f>
        <v/>
      </c>
      <c r="K14" s="60">
        <f>K8+K11</f>
        <v/>
      </c>
      <c r="L14" s="60">
        <f>L8+L11</f>
        <v/>
      </c>
      <c r="M14" s="60">
        <f>M8+M11</f>
        <v/>
      </c>
      <c r="N14" s="60">
        <f>N8+N11</f>
        <v/>
      </c>
      <c r="O14" s="80">
        <f>O8+O11</f>
        <v/>
      </c>
    </row>
    <row r="15" ht="15" customHeight="1" s="42">
      <c r="A15" s="65" t="inlineStr">
        <is>
          <t>Cumulative fleet earnings</t>
        </is>
      </c>
      <c r="C15" s="60">
        <f>C12</f>
        <v/>
      </c>
      <c r="D15" s="60">
        <f>C15+D12</f>
        <v/>
      </c>
      <c r="E15" s="60">
        <f>D15+E12</f>
        <v/>
      </c>
      <c r="F15" s="60">
        <f>E15+F12</f>
        <v/>
      </c>
      <c r="G15" s="60">
        <f>F15+G12</f>
        <v/>
      </c>
      <c r="H15" s="60">
        <f>G15+H12</f>
        <v/>
      </c>
      <c r="I15" s="60">
        <f>H15+I12</f>
        <v/>
      </c>
      <c r="J15" s="60">
        <f>I15+J12</f>
        <v/>
      </c>
      <c r="K15" s="60">
        <f>J15+K12</f>
        <v/>
      </c>
      <c r="L15" s="60">
        <f>K15+L12</f>
        <v/>
      </c>
      <c r="M15" s="60">
        <f>L15+M12</f>
        <v/>
      </c>
      <c r="N15" s="60">
        <f>M15+N12</f>
        <v/>
      </c>
    </row>
    <row r="16" ht="15" customHeight="1" s="42">
      <c r="A16" s="58" t="inlineStr">
        <is>
          <t>Check vs Forecast sheet (should be 0)</t>
        </is>
      </c>
      <c r="O16" s="60">
        <f>ROUND(O12-INDEX(Forecast!E10:G10,Inputs!D26),0)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9" min="1" max="1"/>
    <col width="13" customWidth="1" style="49" min="2" max="9"/>
  </cols>
  <sheetData>
    <row r="1" ht="17.35" customHeight="1" s="42">
      <c r="A1" s="50" t="inlineStr">
        <is>
          <t>Sensitivity: fleet earnings before OPEX ($m) vs spot TCE of the two spot ships</t>
        </is>
      </c>
    </row>
    <row r="2" ht="15" customHeight="1" s="42">
      <c r="A2" s="51" t="inlineStr">
        <is>
          <t>Fixed-TC ships held at contract rates. Rows = MR #2 spot TCE; columns = Kamsarmax #2 spot TCE.</t>
        </is>
      </c>
    </row>
    <row r="4" ht="15" customHeight="1" s="42">
      <c r="A4" s="65" t="inlineStr">
        <is>
          <t>Fixed-TC earnings (constant)</t>
        </is>
      </c>
      <c r="B4" s="79">
        <f>Forecast!F11</f>
        <v/>
      </c>
    </row>
    <row r="6" ht="15" customHeight="1" s="42">
      <c r="A6" s="81" t="inlineStr">
        <is>
          <t>MR#2 TCE ↓  /  Kams#2 TCE →</t>
        </is>
      </c>
      <c r="B6" s="82" t="n">
        <v>10000</v>
      </c>
      <c r="C6" s="82" t="n">
        <v>13000</v>
      </c>
      <c r="D6" s="82" t="n">
        <v>16000</v>
      </c>
      <c r="E6" s="82" t="n">
        <v>19000</v>
      </c>
      <c r="F6" s="82" t="n">
        <v>23000</v>
      </c>
      <c r="G6" s="82" t="n">
        <v>27000</v>
      </c>
      <c r="H6" s="82" t="n">
        <v>31000</v>
      </c>
      <c r="I6" s="82" t="n">
        <v>35000</v>
      </c>
    </row>
    <row r="7" ht="15" customHeight="1" s="42">
      <c r="A7" s="82" t="n">
        <v>15000</v>
      </c>
      <c r="B7" s="83">
        <f>($B$4+($A7+B$6)*Inputs!$D$17*(1-Inputs!$D$18))/1000000</f>
        <v/>
      </c>
      <c r="C7" s="83">
        <f>($B$4+($A7+C$6)*Inputs!$D$17*(1-Inputs!$D$18))/1000000</f>
        <v/>
      </c>
      <c r="D7" s="83">
        <f>($B$4+($A7+D$6)*Inputs!$D$17*(1-Inputs!$D$18))/1000000</f>
        <v/>
      </c>
      <c r="E7" s="83">
        <f>($B$4+($A7+E$6)*Inputs!$D$17*(1-Inputs!$D$18))/1000000</f>
        <v/>
      </c>
      <c r="F7" s="83">
        <f>($B$4+($A7+F$6)*Inputs!$D$17*(1-Inputs!$D$18))/1000000</f>
        <v/>
      </c>
      <c r="G7" s="83">
        <f>($B$4+($A7+G$6)*Inputs!$D$17*(1-Inputs!$D$18))/1000000</f>
        <v/>
      </c>
      <c r="H7" s="83">
        <f>($B$4+($A7+H$6)*Inputs!$D$17*(1-Inputs!$D$18))/1000000</f>
        <v/>
      </c>
      <c r="I7" s="83">
        <f>($B$4+($A7+I$6)*Inputs!$D$17*(1-Inputs!$D$18))/1000000</f>
        <v/>
      </c>
    </row>
    <row r="8" ht="15" customHeight="1" s="42">
      <c r="A8" s="82" t="n">
        <v>18000</v>
      </c>
      <c r="B8" s="83">
        <f>($B$4+($A8+B$6)*Inputs!$D$17*(1-Inputs!$D$18))/1000000</f>
        <v/>
      </c>
      <c r="C8" s="83">
        <f>($B$4+($A8+C$6)*Inputs!$D$17*(1-Inputs!$D$18))/1000000</f>
        <v/>
      </c>
      <c r="D8" s="83">
        <f>($B$4+($A8+D$6)*Inputs!$D$17*(1-Inputs!$D$18))/1000000</f>
        <v/>
      </c>
      <c r="E8" s="83">
        <f>($B$4+($A8+E$6)*Inputs!$D$17*(1-Inputs!$D$18))/1000000</f>
        <v/>
      </c>
      <c r="F8" s="83">
        <f>($B$4+($A8+F$6)*Inputs!$D$17*(1-Inputs!$D$18))/1000000</f>
        <v/>
      </c>
      <c r="G8" s="83">
        <f>($B$4+($A8+G$6)*Inputs!$D$17*(1-Inputs!$D$18))/1000000</f>
        <v/>
      </c>
      <c r="H8" s="83">
        <f>($B$4+($A8+H$6)*Inputs!$D$17*(1-Inputs!$D$18))/1000000</f>
        <v/>
      </c>
      <c r="I8" s="83">
        <f>($B$4+($A8+I$6)*Inputs!$D$17*(1-Inputs!$D$18))/1000000</f>
        <v/>
      </c>
    </row>
    <row r="9" ht="15" customHeight="1" s="42">
      <c r="A9" s="82" t="n">
        <v>21000</v>
      </c>
      <c r="B9" s="83">
        <f>($B$4+($A9+B$6)*Inputs!$D$17*(1-Inputs!$D$18))/1000000</f>
        <v/>
      </c>
      <c r="C9" s="83">
        <f>($B$4+($A9+C$6)*Inputs!$D$17*(1-Inputs!$D$18))/1000000</f>
        <v/>
      </c>
      <c r="D9" s="83">
        <f>($B$4+($A9+D$6)*Inputs!$D$17*(1-Inputs!$D$18))/1000000</f>
        <v/>
      </c>
      <c r="E9" s="83">
        <f>($B$4+($A9+E$6)*Inputs!$D$17*(1-Inputs!$D$18))/1000000</f>
        <v/>
      </c>
      <c r="F9" s="83">
        <f>($B$4+($A9+F$6)*Inputs!$D$17*(1-Inputs!$D$18))/1000000</f>
        <v/>
      </c>
      <c r="G9" s="83">
        <f>($B$4+($A9+G$6)*Inputs!$D$17*(1-Inputs!$D$18))/1000000</f>
        <v/>
      </c>
      <c r="H9" s="83">
        <f>($B$4+($A9+H$6)*Inputs!$D$17*(1-Inputs!$D$18))/1000000</f>
        <v/>
      </c>
      <c r="I9" s="83">
        <f>($B$4+($A9+I$6)*Inputs!$D$17*(1-Inputs!$D$18))/1000000</f>
        <v/>
      </c>
    </row>
    <row r="10" ht="15" customHeight="1" s="42">
      <c r="A10" s="82" t="n">
        <v>24000</v>
      </c>
      <c r="B10" s="83">
        <f>($B$4+($A10+B$6)*Inputs!$D$17*(1-Inputs!$D$18))/1000000</f>
        <v/>
      </c>
      <c r="C10" s="83">
        <f>($B$4+($A10+C$6)*Inputs!$D$17*(1-Inputs!$D$18))/1000000</f>
        <v/>
      </c>
      <c r="D10" s="83">
        <f>($B$4+($A10+D$6)*Inputs!$D$17*(1-Inputs!$D$18))/1000000</f>
        <v/>
      </c>
      <c r="E10" s="83">
        <f>($B$4+($A10+E$6)*Inputs!$D$17*(1-Inputs!$D$18))/1000000</f>
        <v/>
      </c>
      <c r="F10" s="83">
        <f>($B$4+($A10+F$6)*Inputs!$D$17*(1-Inputs!$D$18))/1000000</f>
        <v/>
      </c>
      <c r="G10" s="83">
        <f>($B$4+($A10+G$6)*Inputs!$D$17*(1-Inputs!$D$18))/1000000</f>
        <v/>
      </c>
      <c r="H10" s="83">
        <f>($B$4+($A10+H$6)*Inputs!$D$17*(1-Inputs!$D$18))/1000000</f>
        <v/>
      </c>
      <c r="I10" s="83">
        <f>($B$4+($A10+I$6)*Inputs!$D$17*(1-Inputs!$D$18))/1000000</f>
        <v/>
      </c>
    </row>
    <row r="11" ht="15" customHeight="1" s="42">
      <c r="A11" s="82" t="n">
        <v>27000</v>
      </c>
      <c r="B11" s="83">
        <f>($B$4+($A11+B$6)*Inputs!$D$17*(1-Inputs!$D$18))/1000000</f>
        <v/>
      </c>
      <c r="C11" s="83">
        <f>($B$4+($A11+C$6)*Inputs!$D$17*(1-Inputs!$D$18))/1000000</f>
        <v/>
      </c>
      <c r="D11" s="83">
        <f>($B$4+($A11+D$6)*Inputs!$D$17*(1-Inputs!$D$18))/1000000</f>
        <v/>
      </c>
      <c r="E11" s="83">
        <f>($B$4+($A11+E$6)*Inputs!$D$17*(1-Inputs!$D$18))/1000000</f>
        <v/>
      </c>
      <c r="F11" s="83">
        <f>($B$4+($A11+F$6)*Inputs!$D$17*(1-Inputs!$D$18))/1000000</f>
        <v/>
      </c>
      <c r="G11" s="83">
        <f>($B$4+($A11+G$6)*Inputs!$D$17*(1-Inputs!$D$18))/1000000</f>
        <v/>
      </c>
      <c r="H11" s="83">
        <f>($B$4+($A11+H$6)*Inputs!$D$17*(1-Inputs!$D$18))/1000000</f>
        <v/>
      </c>
      <c r="I11" s="83">
        <f>($B$4+($A11+I$6)*Inputs!$D$17*(1-Inputs!$D$18))/1000000</f>
        <v/>
      </c>
    </row>
    <row r="12" ht="15" customHeight="1" s="42">
      <c r="A12" s="82" t="n">
        <v>30000</v>
      </c>
      <c r="B12" s="83">
        <f>($B$4+($A12+B$6)*Inputs!$D$17*(1-Inputs!$D$18))/1000000</f>
        <v/>
      </c>
      <c r="C12" s="83">
        <f>($B$4+($A12+C$6)*Inputs!$D$17*(1-Inputs!$D$18))/1000000</f>
        <v/>
      </c>
      <c r="D12" s="83">
        <f>($B$4+($A12+D$6)*Inputs!$D$17*(1-Inputs!$D$18))/1000000</f>
        <v/>
      </c>
      <c r="E12" s="83">
        <f>($B$4+($A12+E$6)*Inputs!$D$17*(1-Inputs!$D$18))/1000000</f>
        <v/>
      </c>
      <c r="F12" s="83">
        <f>($B$4+($A12+F$6)*Inputs!$D$17*(1-Inputs!$D$18))/1000000</f>
        <v/>
      </c>
      <c r="G12" s="83">
        <f>($B$4+($A12+G$6)*Inputs!$D$17*(1-Inputs!$D$18))/1000000</f>
        <v/>
      </c>
      <c r="H12" s="83">
        <f>($B$4+($A12+H$6)*Inputs!$D$17*(1-Inputs!$D$18))/1000000</f>
        <v/>
      </c>
      <c r="I12" s="83">
        <f>($B$4+($A12+I$6)*Inputs!$D$17*(1-Inputs!$D$18))/1000000</f>
        <v/>
      </c>
    </row>
    <row r="13" ht="15" customHeight="1" s="42">
      <c r="A13" s="82" t="n">
        <v>33000</v>
      </c>
      <c r="B13" s="83">
        <f>($B$4+($A13+B$6)*Inputs!$D$17*(1-Inputs!$D$18))/1000000</f>
        <v/>
      </c>
      <c r="C13" s="83">
        <f>($B$4+($A13+C$6)*Inputs!$D$17*(1-Inputs!$D$18))/1000000</f>
        <v/>
      </c>
      <c r="D13" s="83">
        <f>($B$4+($A13+D$6)*Inputs!$D$17*(1-Inputs!$D$18))/1000000</f>
        <v/>
      </c>
      <c r="E13" s="83">
        <f>($B$4+($A13+E$6)*Inputs!$D$17*(1-Inputs!$D$18))/1000000</f>
        <v/>
      </c>
      <c r="F13" s="83">
        <f>($B$4+($A13+F$6)*Inputs!$D$17*(1-Inputs!$D$18))/1000000</f>
        <v/>
      </c>
      <c r="G13" s="83">
        <f>($B$4+($A13+G$6)*Inputs!$D$17*(1-Inputs!$D$18))/1000000</f>
        <v/>
      </c>
      <c r="H13" s="83">
        <f>($B$4+($A13+H$6)*Inputs!$D$17*(1-Inputs!$D$18))/1000000</f>
        <v/>
      </c>
      <c r="I13" s="83">
        <f>($B$4+($A13+I$6)*Inputs!$D$17*(1-Inputs!$D$18))/1000000</f>
        <v/>
      </c>
    </row>
    <row r="14" ht="15" customHeight="1" s="42">
      <c r="A14" s="82" t="n">
        <v>36000</v>
      </c>
      <c r="B14" s="83">
        <f>($B$4+($A14+B$6)*Inputs!$D$17*(1-Inputs!$D$18))/1000000</f>
        <v/>
      </c>
      <c r="C14" s="83">
        <f>($B$4+($A14+C$6)*Inputs!$D$17*(1-Inputs!$D$18))/1000000</f>
        <v/>
      </c>
      <c r="D14" s="83">
        <f>($B$4+($A14+D$6)*Inputs!$D$17*(1-Inputs!$D$18))/1000000</f>
        <v/>
      </c>
      <c r="E14" s="83">
        <f>($B$4+($A14+E$6)*Inputs!$D$17*(1-Inputs!$D$18))/1000000</f>
        <v/>
      </c>
      <c r="F14" s="83">
        <f>($B$4+($A14+F$6)*Inputs!$D$17*(1-Inputs!$D$18))/1000000</f>
        <v/>
      </c>
      <c r="G14" s="83">
        <f>($B$4+($A14+G$6)*Inputs!$D$17*(1-Inputs!$D$18))/1000000</f>
        <v/>
      </c>
      <c r="H14" s="83">
        <f>($B$4+($A14+H$6)*Inputs!$D$17*(1-Inputs!$D$18))/1000000</f>
        <v/>
      </c>
      <c r="I14" s="83">
        <f>($B$4+($A14+I$6)*Inputs!$D$17*(1-Inputs!$D$18))/1000000</f>
        <v/>
      </c>
    </row>
    <row r="15" ht="15" customHeight="1" s="42">
      <c r="A15" s="82" t="n">
        <v>40000</v>
      </c>
      <c r="B15" s="83">
        <f>($B$4+($A15+B$6)*Inputs!$D$17*(1-Inputs!$D$18))/1000000</f>
        <v/>
      </c>
      <c r="C15" s="83">
        <f>($B$4+($A15+C$6)*Inputs!$D$17*(1-Inputs!$D$18))/1000000</f>
        <v/>
      </c>
      <c r="D15" s="83">
        <f>($B$4+($A15+D$6)*Inputs!$D$17*(1-Inputs!$D$18))/1000000</f>
        <v/>
      </c>
      <c r="E15" s="83">
        <f>($B$4+($A15+E$6)*Inputs!$D$17*(1-Inputs!$D$18))/1000000</f>
        <v/>
      </c>
      <c r="F15" s="83">
        <f>($B$4+($A15+F$6)*Inputs!$D$17*(1-Inputs!$D$18))/1000000</f>
        <v/>
      </c>
      <c r="G15" s="83">
        <f>($B$4+($A15+G$6)*Inputs!$D$17*(1-Inputs!$D$18))/1000000</f>
        <v/>
      </c>
      <c r="H15" s="83">
        <f>($B$4+($A15+H$6)*Inputs!$D$17*(1-Inputs!$D$18))/1000000</f>
        <v/>
      </c>
      <c r="I15" s="83">
        <f>($B$4+($A15+I$6)*Inputs!$D$17*(1-Inputs!$D$18))/1000000</f>
        <v/>
      </c>
    </row>
    <row r="17" ht="15" customHeight="1" s="42">
      <c r="A17" s="67" t="inlineStr">
        <is>
          <t>Same grid as return on USD 250m capital</t>
        </is>
      </c>
    </row>
    <row r="18" ht="15" customHeight="1" s="42">
      <c r="A18" s="81" t="inlineStr">
        <is>
          <t>MR#2 TCE ↓  /  Kams#2 TCE →</t>
        </is>
      </c>
      <c r="B18" s="84">
        <f>B6</f>
        <v/>
      </c>
      <c r="C18" s="84">
        <f>C6</f>
        <v/>
      </c>
      <c r="D18" s="84">
        <f>D6</f>
        <v/>
      </c>
      <c r="E18" s="84">
        <f>E6</f>
        <v/>
      </c>
      <c r="F18" s="84">
        <f>F6</f>
        <v/>
      </c>
      <c r="G18" s="84">
        <f>G6</f>
        <v/>
      </c>
      <c r="H18" s="84">
        <f>H6</f>
        <v/>
      </c>
      <c r="I18" s="84">
        <f>I6</f>
        <v/>
      </c>
    </row>
    <row r="19" ht="15" customHeight="1" s="42">
      <c r="A19" s="84">
        <f>A7</f>
        <v/>
      </c>
      <c r="B19" s="64">
        <f>B7*1000000/Inputs!$D$14</f>
        <v/>
      </c>
      <c r="C19" s="64">
        <f>C7*1000000/Inputs!$D$14</f>
        <v/>
      </c>
      <c r="D19" s="64">
        <f>D7*1000000/Inputs!$D$14</f>
        <v/>
      </c>
      <c r="E19" s="64">
        <f>E7*1000000/Inputs!$D$14</f>
        <v/>
      </c>
      <c r="F19" s="64">
        <f>F7*1000000/Inputs!$D$14</f>
        <v/>
      </c>
      <c r="G19" s="64">
        <f>G7*1000000/Inputs!$D$14</f>
        <v/>
      </c>
      <c r="H19" s="64">
        <f>H7*1000000/Inputs!$D$14</f>
        <v/>
      </c>
      <c r="I19" s="64">
        <f>I7*1000000/Inputs!$D$14</f>
        <v/>
      </c>
    </row>
    <row r="20" ht="15" customHeight="1" s="42">
      <c r="A20" s="84">
        <f>A8</f>
        <v/>
      </c>
      <c r="B20" s="64">
        <f>B8*1000000/Inputs!$D$14</f>
        <v/>
      </c>
      <c r="C20" s="64">
        <f>C8*1000000/Inputs!$D$14</f>
        <v/>
      </c>
      <c r="D20" s="64">
        <f>D8*1000000/Inputs!$D$14</f>
        <v/>
      </c>
      <c r="E20" s="64">
        <f>E8*1000000/Inputs!$D$14</f>
        <v/>
      </c>
      <c r="F20" s="64">
        <f>F8*1000000/Inputs!$D$14</f>
        <v/>
      </c>
      <c r="G20" s="64">
        <f>G8*1000000/Inputs!$D$14</f>
        <v/>
      </c>
      <c r="H20" s="64">
        <f>H8*1000000/Inputs!$D$14</f>
        <v/>
      </c>
      <c r="I20" s="64">
        <f>I8*1000000/Inputs!$D$14</f>
        <v/>
      </c>
    </row>
    <row r="21" ht="15" customHeight="1" s="42">
      <c r="A21" s="84">
        <f>A9</f>
        <v/>
      </c>
      <c r="B21" s="64">
        <f>B9*1000000/Inputs!$D$14</f>
        <v/>
      </c>
      <c r="C21" s="64">
        <f>C9*1000000/Inputs!$D$14</f>
        <v/>
      </c>
      <c r="D21" s="64">
        <f>D9*1000000/Inputs!$D$14</f>
        <v/>
      </c>
      <c r="E21" s="64">
        <f>E9*1000000/Inputs!$D$14</f>
        <v/>
      </c>
      <c r="F21" s="64">
        <f>F9*1000000/Inputs!$D$14</f>
        <v/>
      </c>
      <c r="G21" s="64">
        <f>G9*1000000/Inputs!$D$14</f>
        <v/>
      </c>
      <c r="H21" s="64">
        <f>H9*1000000/Inputs!$D$14</f>
        <v/>
      </c>
      <c r="I21" s="64">
        <f>I9*1000000/Inputs!$D$14</f>
        <v/>
      </c>
    </row>
    <row r="22" ht="15" customHeight="1" s="42">
      <c r="A22" s="84">
        <f>A10</f>
        <v/>
      </c>
      <c r="B22" s="64">
        <f>B10*1000000/Inputs!$D$14</f>
        <v/>
      </c>
      <c r="C22" s="64">
        <f>C10*1000000/Inputs!$D$14</f>
        <v/>
      </c>
      <c r="D22" s="64">
        <f>D10*1000000/Inputs!$D$14</f>
        <v/>
      </c>
      <c r="E22" s="64">
        <f>E10*1000000/Inputs!$D$14</f>
        <v/>
      </c>
      <c r="F22" s="64">
        <f>F10*1000000/Inputs!$D$14</f>
        <v/>
      </c>
      <c r="G22" s="64">
        <f>G10*1000000/Inputs!$D$14</f>
        <v/>
      </c>
      <c r="H22" s="64">
        <f>H10*1000000/Inputs!$D$14</f>
        <v/>
      </c>
      <c r="I22" s="64">
        <f>I10*1000000/Inputs!$D$14</f>
        <v/>
      </c>
    </row>
    <row r="23" ht="15" customHeight="1" s="42">
      <c r="A23" s="84">
        <f>A11</f>
        <v/>
      </c>
      <c r="B23" s="64">
        <f>B11*1000000/Inputs!$D$14</f>
        <v/>
      </c>
      <c r="C23" s="64">
        <f>C11*1000000/Inputs!$D$14</f>
        <v/>
      </c>
      <c r="D23" s="64">
        <f>D11*1000000/Inputs!$D$14</f>
        <v/>
      </c>
      <c r="E23" s="64">
        <f>E11*1000000/Inputs!$D$14</f>
        <v/>
      </c>
      <c r="F23" s="64">
        <f>F11*1000000/Inputs!$D$14</f>
        <v/>
      </c>
      <c r="G23" s="64">
        <f>G11*1000000/Inputs!$D$14</f>
        <v/>
      </c>
      <c r="H23" s="64">
        <f>H11*1000000/Inputs!$D$14</f>
        <v/>
      </c>
      <c r="I23" s="64">
        <f>I11*1000000/Inputs!$D$14</f>
        <v/>
      </c>
    </row>
    <row r="24" ht="15" customHeight="1" s="42">
      <c r="A24" s="84">
        <f>A12</f>
        <v/>
      </c>
      <c r="B24" s="64">
        <f>B12*1000000/Inputs!$D$14</f>
        <v/>
      </c>
      <c r="C24" s="64">
        <f>C12*1000000/Inputs!$D$14</f>
        <v/>
      </c>
      <c r="D24" s="64">
        <f>D12*1000000/Inputs!$D$14</f>
        <v/>
      </c>
      <c r="E24" s="64">
        <f>E12*1000000/Inputs!$D$14</f>
        <v/>
      </c>
      <c r="F24" s="64">
        <f>F12*1000000/Inputs!$D$14</f>
        <v/>
      </c>
      <c r="G24" s="64">
        <f>G12*1000000/Inputs!$D$14</f>
        <v/>
      </c>
      <c r="H24" s="64">
        <f>H12*1000000/Inputs!$D$14</f>
        <v/>
      </c>
      <c r="I24" s="64">
        <f>I12*1000000/Inputs!$D$14</f>
        <v/>
      </c>
    </row>
    <row r="25" ht="15" customHeight="1" s="42">
      <c r="A25" s="84">
        <f>A13</f>
        <v/>
      </c>
      <c r="B25" s="64">
        <f>B13*1000000/Inputs!$D$14</f>
        <v/>
      </c>
      <c r="C25" s="64">
        <f>C13*1000000/Inputs!$D$14</f>
        <v/>
      </c>
      <c r="D25" s="64">
        <f>D13*1000000/Inputs!$D$14</f>
        <v/>
      </c>
      <c r="E25" s="64">
        <f>E13*1000000/Inputs!$D$14</f>
        <v/>
      </c>
      <c r="F25" s="64">
        <f>F13*1000000/Inputs!$D$14</f>
        <v/>
      </c>
      <c r="G25" s="64">
        <f>G13*1000000/Inputs!$D$14</f>
        <v/>
      </c>
      <c r="H25" s="64">
        <f>H13*1000000/Inputs!$D$14</f>
        <v/>
      </c>
      <c r="I25" s="64">
        <f>I13*1000000/Inputs!$D$14</f>
        <v/>
      </c>
    </row>
    <row r="26" ht="15" customHeight="1" s="42">
      <c r="A26" s="84">
        <f>A14</f>
        <v/>
      </c>
      <c r="B26" s="64">
        <f>B14*1000000/Inputs!$D$14</f>
        <v/>
      </c>
      <c r="C26" s="64">
        <f>C14*1000000/Inputs!$D$14</f>
        <v/>
      </c>
      <c r="D26" s="64">
        <f>D14*1000000/Inputs!$D$14</f>
        <v/>
      </c>
      <c r="E26" s="64">
        <f>E14*1000000/Inputs!$D$14</f>
        <v/>
      </c>
      <c r="F26" s="64">
        <f>F14*1000000/Inputs!$D$14</f>
        <v/>
      </c>
      <c r="G26" s="64">
        <f>G14*1000000/Inputs!$D$14</f>
        <v/>
      </c>
      <c r="H26" s="64">
        <f>H14*1000000/Inputs!$D$14</f>
        <v/>
      </c>
      <c r="I26" s="64">
        <f>I14*1000000/Inputs!$D$14</f>
        <v/>
      </c>
    </row>
    <row r="27" ht="15" customHeight="1" s="42">
      <c r="A27" s="84">
        <f>A15</f>
        <v/>
      </c>
      <c r="B27" s="64">
        <f>B15*1000000/Inputs!$D$14</f>
        <v/>
      </c>
      <c r="C27" s="64">
        <f>C15*1000000/Inputs!$D$14</f>
        <v/>
      </c>
      <c r="D27" s="64">
        <f>D15*1000000/Inputs!$D$14</f>
        <v/>
      </c>
      <c r="E27" s="64">
        <f>E15*1000000/Inputs!$D$14</f>
        <v/>
      </c>
      <c r="F27" s="64">
        <f>F15*1000000/Inputs!$D$14</f>
        <v/>
      </c>
      <c r="G27" s="64">
        <f>G15*1000000/Inputs!$D$14</f>
        <v/>
      </c>
      <c r="H27" s="64">
        <f>H15*1000000/Inputs!$D$14</f>
        <v/>
      </c>
      <c r="I27" s="64">
        <f>I15*1000000/Inputs!$D$14</f>
        <v/>
      </c>
    </row>
    <row r="29" ht="15" customHeight="1" s="42">
      <c r="A29" s="51" t="inlineStr">
        <is>
          <t>Reading: even with both spot ships at the bottom-left corner (MR $15k, Kams $10k), the fleet still earns the locked TC income plus a floor — the downside is capped by the 60% fixed cover.</t>
        </is>
      </c>
    </row>
    <row r="30" ht="15" customHeight="1" s="42">
      <c r="A30" s="51" t="inlineStr">
        <is>
          <t>Base case = MR $27,000 × Kams $23,000 cell (row 11, col F).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49" min="1" max="1"/>
    <col width="16" customWidth="1" style="49" min="2" max="2"/>
    <col width="64" customWidth="1" style="49" min="3" max="3"/>
  </cols>
  <sheetData>
    <row r="1" ht="17.35" customHeight="1" s="42">
      <c r="A1" s="50" t="inlineStr">
        <is>
          <t>Cross-check: last-done Kamsarmax freight rate → daily TCE</t>
        </is>
      </c>
    </row>
    <row r="2" ht="15" customHeight="1" s="42">
      <c r="A2" s="51" t="inlineStr">
        <is>
          <t>Fixture: DBCT (Australia) → Vizag (India), coal 80,000t @ $25.60/t, SAIL, 10 Sep 2026. Yellow = voyage assumptions to confirm.</t>
        </is>
      </c>
    </row>
    <row r="4" ht="15" customHeight="1" s="42">
      <c r="A4" s="56" t="inlineStr">
        <is>
          <t>Item</t>
        </is>
      </c>
      <c r="B4" s="56" t="inlineStr">
        <is>
          <t>Value</t>
        </is>
      </c>
      <c r="C4" s="56" t="inlineStr">
        <is>
          <t>Basis / source</t>
        </is>
      </c>
    </row>
    <row r="5" ht="15" customHeight="1" s="42">
      <c r="A5" s="58" t="inlineStr">
        <is>
          <t>Cargo (t)</t>
        </is>
      </c>
      <c r="B5" s="75" t="n">
        <v>80000</v>
      </c>
      <c r="C5" s="85" t="inlineStr">
        <is>
          <t>Fixture (SIN Fixtures Register, voyage)</t>
        </is>
      </c>
    </row>
    <row r="6" ht="15" customHeight="1" s="42">
      <c r="A6" s="58" t="inlineStr">
        <is>
          <t>Freight rate ($/t)</t>
        </is>
      </c>
      <c r="B6" s="86" t="n">
        <v>25.6</v>
      </c>
      <c r="C6" s="85" t="inlineStr">
        <is>
          <t>Fixture (SIN Fixtures Register, voyage)</t>
        </is>
      </c>
    </row>
    <row r="7" ht="15" customHeight="1" s="42">
      <c r="A7" s="58" t="inlineStr">
        <is>
          <t>Gross freight ($)</t>
        </is>
      </c>
      <c r="B7" s="60">
        <f>B5*B6</f>
        <v/>
      </c>
      <c r="C7" s="85" t="n"/>
    </row>
    <row r="8" ht="15" customHeight="1" s="42">
      <c r="A8" s="58" t="inlineStr">
        <is>
          <t>Laden distance (nm)</t>
        </is>
      </c>
      <c r="B8" s="76" t="n">
        <v>4600</v>
      </c>
      <c r="C8" s="85" t="inlineStr">
        <is>
          <t>Approx. DBCT → Visakhapatnam via Torres Strait/Lombok — confirm on distance table</t>
        </is>
      </c>
    </row>
    <row r="9" ht="15" customHeight="1" s="42">
      <c r="A9" s="58" t="inlineStr">
        <is>
          <t>Ballast distance (nm)</t>
        </is>
      </c>
      <c r="B9" s="76" t="n">
        <v>4600</v>
      </c>
      <c r="C9" s="85" t="inlineStr">
        <is>
          <t>Assume ballast back to Australia (conservative round voyage)</t>
        </is>
      </c>
    </row>
    <row r="10" ht="15" customHeight="1" s="42">
      <c r="A10" s="58" t="inlineStr">
        <is>
          <t>Laden speed (knots)</t>
        </is>
      </c>
      <c r="B10" s="87" t="n">
        <v>12.5</v>
      </c>
      <c r="C10" s="85" t="inlineStr">
        <is>
          <t>Eco Kamsarmax service speed</t>
        </is>
      </c>
    </row>
    <row r="11" ht="15" customHeight="1" s="42">
      <c r="A11" s="58" t="inlineStr">
        <is>
          <t>Ballast speed (knots)</t>
        </is>
      </c>
      <c r="B11" s="87" t="n">
        <v>13</v>
      </c>
      <c r="C11" s="85" t="n"/>
    </row>
    <row r="12" ht="15" customHeight="1" s="42">
      <c r="A12" s="58" t="inlineStr">
        <is>
          <t>Port days (load + discharge + waiting)</t>
        </is>
      </c>
      <c r="B12" s="76" t="n">
        <v>9</v>
      </c>
      <c r="C12" s="85" t="inlineStr">
        <is>
          <t>Load 3 + disch 5 + 1 waiting</t>
        </is>
      </c>
    </row>
    <row r="13" ht="15" customHeight="1" s="42">
      <c r="A13" s="58" t="inlineStr">
        <is>
          <t>Sea days</t>
        </is>
      </c>
      <c r="B13" s="83">
        <f>B8/(B10*24)+B9/(B11*24)</f>
        <v/>
      </c>
      <c r="C13" s="85" t="inlineStr">
        <is>
          <t>Formula</t>
        </is>
      </c>
    </row>
    <row r="14" ht="15" customHeight="1" s="42">
      <c r="A14" s="58" t="inlineStr">
        <is>
          <t>Total voyage days</t>
        </is>
      </c>
      <c r="B14" s="83">
        <f>B13+B12</f>
        <v/>
      </c>
      <c r="C14" s="85" t="inlineStr">
        <is>
          <t>Formula</t>
        </is>
      </c>
    </row>
    <row r="15" ht="15" customHeight="1" s="42">
      <c r="A15" s="58" t="inlineStr">
        <is>
          <t>Fuel at sea (t/day)</t>
        </is>
      </c>
      <c r="B15" s="76" t="n">
        <v>27</v>
      </c>
      <c r="C15" s="85" t="inlineStr">
        <is>
          <t>Eco Kamsarmax VLSFO consumption</t>
        </is>
      </c>
    </row>
    <row r="16" ht="15" customHeight="1" s="42">
      <c r="A16" s="58" t="inlineStr">
        <is>
          <t>Fuel in port (t/day)</t>
        </is>
      </c>
      <c r="B16" s="76" t="n">
        <v>4</v>
      </c>
      <c r="C16" s="85" t="n"/>
    </row>
    <row r="17" ht="15" customHeight="1" s="42">
      <c r="A17" s="58" t="inlineStr">
        <is>
          <t>VLSFO price ($/t)</t>
        </is>
      </c>
      <c r="B17" s="74" t="n">
        <v>874.9400000000001</v>
      </c>
      <c r="C17" s="85" t="inlineStr">
        <is>
          <t>Singapore VLSFO 0.5%, September 2026 monthly average = $874.94/t (SIN series 542456, dataset L2; refreshed 15 Oct 2026). August average was $811.69/t. Update again at the final data cut.</t>
        </is>
      </c>
    </row>
    <row r="18" ht="15" customHeight="1" s="42">
      <c r="A18" s="58" t="inlineStr">
        <is>
          <t>Bunker cost ($)</t>
        </is>
      </c>
      <c r="B18" s="60">
        <f>(B13*B15+B12*B16)*B17</f>
        <v/>
      </c>
      <c r="C18" s="85" t="inlineStr">
        <is>
          <t>Formula</t>
        </is>
      </c>
    </row>
    <row r="19" ht="15" customHeight="1" s="42">
      <c r="A19" s="58" t="inlineStr">
        <is>
          <t>Port costs ($)</t>
        </is>
      </c>
      <c r="B19" s="74" t="n">
        <v>160000</v>
      </c>
      <c r="C19" s="85" t="inlineStr">
        <is>
          <t>DBCT + Vizag port/agency estimate</t>
        </is>
      </c>
    </row>
    <row r="20" ht="15" customHeight="1" s="42">
      <c r="A20" s="58" t="inlineStr">
        <is>
          <t>Commission (%)</t>
        </is>
      </c>
      <c r="B20" s="78" t="n">
        <v>0.0375</v>
      </c>
      <c r="C20" s="85" t="inlineStr">
        <is>
          <t>1.25% brokerage + 2.5% address</t>
        </is>
      </c>
    </row>
    <row r="21" ht="15" customHeight="1" s="42">
      <c r="A21" s="58" t="inlineStr">
        <is>
          <t>Commission ($)</t>
        </is>
      </c>
      <c r="B21" s="60">
        <f>B7*B20</f>
        <v/>
      </c>
      <c r="C21" s="85" t="inlineStr">
        <is>
          <t>Formula</t>
        </is>
      </c>
    </row>
    <row r="22" ht="15" customHeight="1" s="42">
      <c r="A22" s="58" t="inlineStr">
        <is>
          <t>Net voyage result ($)</t>
        </is>
      </c>
      <c r="B22" s="60">
        <f>B7-B18-B19-B21</f>
        <v/>
      </c>
      <c r="C22" s="85" t="inlineStr">
        <is>
          <t>Gross freight − voyage costs</t>
        </is>
      </c>
    </row>
    <row r="23" ht="15" customHeight="1" s="42">
      <c r="A23" s="65" t="inlineStr">
        <is>
          <t>Voyage TCE ($/day)</t>
        </is>
      </c>
      <c r="B23" s="60">
        <f>B22/B14</f>
        <v/>
      </c>
      <c r="C23" s="85" t="inlineStr">
        <is>
          <t>Net voyage result ÷ voyage days</t>
        </is>
      </c>
    </row>
    <row r="24" ht="15" customHeight="1" s="42">
      <c r="A24" s="58" t="inlineStr">
        <is>
          <t>Compare: Base spot assumption ($/day)</t>
        </is>
      </c>
      <c r="B24" s="79">
        <f>Inputs!G9</f>
        <v/>
      </c>
      <c r="C24" s="85" t="inlineStr">
        <is>
          <t>Kamsarmax #2 base TCE</t>
        </is>
      </c>
    </row>
    <row r="25" ht="15" customHeight="1" s="42">
      <c r="A25" s="58" t="inlineStr">
        <is>
          <t>Headroom vs base assumption</t>
        </is>
      </c>
      <c r="B25" s="64">
        <f>B23/B24-1</f>
        <v/>
      </c>
      <c r="C25" s="85" t="inlineStr">
        <is>
          <t>Positive = base case is conservative</t>
        </is>
      </c>
    </row>
    <row r="31" ht="15" customHeight="1" s="42">
      <c r="A31" s="88" t="inlineStr">
        <is>
          <t>Interpretation: a full round-voyage TCE above the base $23,000/day means the base case for Kamsarmax #2 is conservative and spot upside sits in the Bull case. Re-check once the bunker price placeholder is replaced.</t>
        </is>
      </c>
    </row>
    <row r="32" ht="15" customHeight="1" s="42"/>
  </sheetData>
  <mergeCells count="1">
    <mergeCell ref="A31:C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9" min="1" max="1"/>
    <col width="80" customWidth="1" style="49" min="2" max="2"/>
  </cols>
  <sheetData>
    <row r="1" ht="17.35" customHeight="1" s="42">
      <c r="A1" s="50" t="inlineStr">
        <is>
          <t>Data sources</t>
        </is>
      </c>
    </row>
    <row r="2" ht="15" customHeight="1" s="42">
      <c r="A2" s="51" t="inlineStr">
        <is>
          <t>All from Clarksons Shipping Intelligence Network (SIN), extracted 12 Sep 2026, unless stated</t>
        </is>
      </c>
    </row>
    <row r="4" ht="15" customHeight="1" s="42">
      <c r="A4" s="56" t="inlineStr">
        <is>
          <t>Item</t>
        </is>
      </c>
      <c r="B4" s="56" t="inlineStr">
        <is>
          <t>Source</t>
        </is>
      </c>
    </row>
    <row r="5" ht="23.85" customHeight="1" s="42">
      <c r="A5" s="65" t="inlineStr">
        <is>
          <t>Time charter fixtures</t>
        </is>
      </c>
      <c r="B5" s="89" t="inlineStr">
        <is>
          <t>SIN Fixtures Register (Timecharter): PS Imabari, Challenge Pollux, Torm Genesis, Intensity, XH Hope</t>
        </is>
      </c>
    </row>
    <row r="6" ht="23.85" customHeight="1" s="42">
      <c r="A6" s="65" t="inlineStr">
        <is>
          <t>Voyage fixtures</t>
        </is>
      </c>
      <c r="B6" s="89" t="inlineStr">
        <is>
          <t>SIN Fixtures Register (Voyage/Spot): DBCT→Vizag coal $25.60/t (SAIL); Baltic→USG WS105 (VITOL)</t>
        </is>
      </c>
    </row>
    <row r="7" ht="23.85" customHeight="1" s="42">
      <c r="A7" s="65" t="inlineStr">
        <is>
          <t>S&amp;P transactions</t>
        </is>
      </c>
      <c r="B7" s="89" t="inlineStr">
        <is>
          <t>SIN S&amp;P Register: Southern Reverence, Pusaka Borneo, Aquavita Aim, Medi Positano; MR 5-yr valuation series 47130</t>
        </is>
      </c>
    </row>
    <row r="8" ht="15" customHeight="1" s="42">
      <c r="A8" s="65" t="inlineStr">
        <is>
          <t>OPEX</t>
        </is>
      </c>
      <c r="B8" s="89" t="inlineStr">
        <is>
          <t>SIN series 540687 / 540689 / 540683</t>
        </is>
      </c>
    </row>
    <row r="9" ht="23.85" customHeight="1" s="42">
      <c r="A9" s="65" t="inlineStr">
        <is>
          <t>Spot earnings (to fill)</t>
        </is>
      </c>
      <c r="B9" s="89" t="inlineStr">
        <is>
          <t>MR product tanker earnings series 545055 (2025 average); Kamsarmax/Panamax spot earnings (2025 average) — for Bear case</t>
        </is>
      </c>
    </row>
    <row r="10" ht="15" customHeight="1" s="42">
      <c r="A10" s="65" t="inlineStr">
        <is>
          <t>Bunker price (to fill)</t>
        </is>
      </c>
      <c r="B10" s="89" t="inlineStr">
        <is>
          <t>Singapore VLSFO price, 10 Sep 2026 — for Voyage_TCE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2026-10-10T08:53:59Z</dcterms:created>
  <dcterms:modified xsi:type="dcterms:W3CDTF">2026-10-15T07:25:30Z</dcterms:modified>
  <cp:revision>1</cp:revision>
</cp:coreProperties>
</file>