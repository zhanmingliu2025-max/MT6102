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说明-先看这页" sheetId="1" state="visible" r:id="rId1"/>
    <sheet name="Assumptions" sheetId="2" state="visible" r:id="rId2"/>
    <sheet name="Acquisition" sheetId="3" state="visible" r:id="rId3"/>
    <sheet name="Earnings" sheetId="4" state="visible" r:id="rId4"/>
    <sheet name="Sensitivity" sheetId="5" state="visible" r:id="rId5"/>
  </sheets>
  <definedNames/>
  <calcPr calcId="124519" fullCalcOnLoad="1"/>
</workbook>
</file>

<file path=xl/styles.xml><?xml version="1.0" encoding="utf-8"?>
<styleSheet xmlns="http://schemas.openxmlformats.org/spreadsheetml/2006/main">
  <numFmts count="3">
    <numFmt numFmtId="164" formatCode="$#,##0"/>
    <numFmt numFmtId="165" formatCode="0.0%"/>
    <numFmt numFmtId="166" formatCode="+#,##0;-#,##0;0"/>
  </numFmts>
  <fonts count="10">
    <font>
      <name val="Calibri"/>
      <family val="2"/>
      <color theme="1"/>
      <sz val="11"/>
      <scheme val="minor"/>
    </font>
    <font>
      <name val="Arial"/>
      <b val="1"/>
      <sz val="14"/>
    </font>
    <font>
      <name val="Arial"/>
      <i val="1"/>
      <sz val="9"/>
    </font>
    <font>
      <name val="Arial"/>
    </font>
    <font>
      <name val="Arial"/>
      <color rgb="000000FF"/>
    </font>
    <font>
      <name val="Arial"/>
      <color rgb="00808080"/>
      <sz val="8"/>
    </font>
    <font>
      <name val="Arial"/>
      <b val="1"/>
    </font>
    <font>
      <name val="Arial"/>
      <color rgb="00008000"/>
    </font>
    <font>
      <name val="Arial"/>
      <b val="1"/>
      <sz val="13"/>
    </font>
    <font>
      <name val="Arial"/>
      <color rgb="00808080"/>
      <sz val="9"/>
    </font>
  </fonts>
  <fills count="4">
    <fill>
      <patternFill/>
    </fill>
    <fill>
      <patternFill patternType="gray125"/>
    </fill>
    <fill>
      <patternFill patternType="solid">
        <fgColor rgb="00FFFF00"/>
      </patternFill>
    </fill>
    <fill>
      <patternFill patternType="solid">
        <fgColor rgb="00F2F2F2"/>
      </patternFill>
    </fill>
  </fills>
  <borders count="2">
    <border>
      <left/>
      <right/>
      <top/>
      <bottom/>
      <diagonal/>
    </border>
    <border>
      <bottom style="thin">
        <color rgb="00BFBFBF"/>
      </bottom>
    </border>
  </borders>
  <cellStyleXfs count="1">
    <xf numFmtId="0" fontId="0" fillId="0" borderId="0"/>
  </cellStyleXfs>
  <cellXfs count="20">
    <xf numFmtId="0" fontId="0" fillId="0" borderId="0" pivotButton="0" quotePrefix="0" xfId="0"/>
    <xf numFmtId="0" fontId="1" fillId="0" borderId="0" pivotButton="0" quotePrefix="0" xfId="0"/>
    <xf numFmtId="0" fontId="2" fillId="0" borderId="0" pivotButton="0" quotePrefix="0" xfId="0"/>
    <xf numFmtId="0" fontId="3" fillId="0" borderId="0" pivotButton="0" quotePrefix="0" xfId="0"/>
    <xf numFmtId="0" fontId="4" fillId="0" borderId="0" pivotButton="0" quotePrefix="0" xfId="0"/>
    <xf numFmtId="0" fontId="5" fillId="0" borderId="0" pivotButton="0" quotePrefix="0" xfId="0"/>
    <xf numFmtId="3" fontId="4" fillId="0" borderId="0" pivotButton="0" quotePrefix="0" xfId="0"/>
    <xf numFmtId="0" fontId="6" fillId="0" borderId="0" pivotButton="0" quotePrefix="0" xfId="0"/>
    <xf numFmtId="3" fontId="4" fillId="2" borderId="0" pivotButton="0" quotePrefix="0" xfId="0"/>
    <xf numFmtId="0" fontId="6" fillId="3" borderId="1" pivotButton="0" quotePrefix="0" xfId="0"/>
    <xf numFmtId="164" fontId="4" fillId="0" borderId="0" pivotButton="0" quotePrefix="0" xfId="0"/>
    <xf numFmtId="164" fontId="6" fillId="0" borderId="0" pivotButton="0" quotePrefix="0" xfId="0"/>
    <xf numFmtId="164" fontId="7" fillId="0" borderId="0" pivotButton="0" quotePrefix="0" xfId="0"/>
    <xf numFmtId="165" fontId="0" fillId="0" borderId="0" pivotButton="0" quotePrefix="0" xfId="0"/>
    <xf numFmtId="166" fontId="4" fillId="0" borderId="0" pivotButton="0" quotePrefix="0" xfId="0"/>
    <xf numFmtId="164" fontId="3" fillId="0" borderId="0" pivotButton="0" quotePrefix="0" xfId="0"/>
    <xf numFmtId="0" fontId="8" fillId="0" borderId="0" applyAlignment="1" pivotButton="0" quotePrefix="0" xfId="0">
      <alignment vertical="top" wrapText="1"/>
    </xf>
    <xf numFmtId="0" fontId="3" fillId="0" borderId="0" applyAlignment="1" pivotButton="0" quotePrefix="0" xfId="0">
      <alignment vertical="top" wrapText="1"/>
    </xf>
    <xf numFmtId="0" fontId="6" fillId="0" borderId="0" applyAlignment="1" pivotButton="0" quotePrefix="0" xfId="0">
      <alignment vertical="top" wrapText="1"/>
    </xf>
    <xf numFmtId="0" fontId="9" fillId="0" borderId="0" applyAlignment="1" pivotButton="0" quotePrefix="0" xfId="0">
      <alignment vertical="top"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worksheet" Target="/xl/worksheets/sheet5.xml" Id="rId5" /><Relationship Type="http://schemas.openxmlformats.org/officeDocument/2006/relationships/styles" Target="styles.xml" Id="rId6" /><Relationship Type="http://schemas.openxmlformats.org/officeDocument/2006/relationships/theme" Target="theme/theme1.xml" Id="rId7" 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B16"/>
  <sheetViews>
    <sheetView workbookViewId="0">
      <selection activeCell="A1" sqref="A1"/>
    </sheetView>
  </sheetViews>
  <sheetFormatPr baseColWidth="8" defaultRowHeight="15"/>
  <cols>
    <col width="8" customWidth="1" min="1" max="1"/>
    <col width="100" customWidth="1" min="2" max="2"/>
  </cols>
  <sheetData>
    <row r="1">
      <c r="A1" s="3" t="inlineStr"/>
      <c r="B1" s="16" t="inlineStr">
        <is>
          <t>这个表格怎么用（1 分钟看懂）</t>
        </is>
      </c>
    </row>
    <row r="2">
      <c r="A2" s="3" t="inlineStr"/>
      <c r="B2" s="17" t="inlineStr">
        <is>
          <t>打开时如果数字是空白，按一下 F9 让 Excel 重算。蓝色字 = 可以改的输入；黄色格 = 情景开关；黑色字 = 自动算出来的，别动。</t>
        </is>
      </c>
    </row>
    <row r="3">
      <c r="A3" s="3" t="inlineStr"/>
      <c r="B3" s="17" t="inlineStr"/>
    </row>
    <row r="4">
      <c r="A4" s="3" t="inlineStr"/>
      <c r="B4" s="18" t="inlineStr">
        <is>
          <t>整个模型只有一条公式：年收益 = 每天租金 × 350 天 × 船数</t>
        </is>
      </c>
    </row>
    <row r="5">
      <c r="A5" s="3" t="inlineStr"/>
      <c r="B5" s="17" t="inlineStr">
        <is>
          <t>350 天 = 一年 365 天减去 15 天维修检验（行业惯例）。租金全部用 Clarksons 上最近一笔真实成交，不是自己估的。</t>
        </is>
      </c>
    </row>
    <row r="6">
      <c r="A6" s="3" t="inlineStr"/>
      <c r="B6" s="17" t="inlineStr"/>
    </row>
    <row r="7">
      <c r="A7" s="7" t="inlineStr">
        <is>
          <t>第1步</t>
        </is>
      </c>
      <c r="B7" s="17" t="inlineStr">
        <is>
          <t>定每艘船的租金（见 Assumptions 表）：锁定的三艘 = 真实租约成交价（MR $30,000/天、Aframax $40,000/天、Kamsarmax $22,000/天）；跑现货的两艘按三种行情各设一个数。</t>
        </is>
      </c>
    </row>
    <row r="8">
      <c r="A8" s="7" t="inlineStr">
        <is>
          <t>第2步</t>
        </is>
      </c>
      <c r="B8" s="17" t="inlineStr">
        <is>
          <t>算每艘船一年赚多少（见 Earnings 表 4-8 行）。例：MR #1 = 30,000 × 350 = $10,500,000；Aframax = 40,000 × 350 = $14,000,000。</t>
        </is>
      </c>
    </row>
    <row r="9">
      <c r="A9" s="7" t="inlineStr">
        <is>
          <t>第3步</t>
        </is>
      </c>
      <c r="B9" s="17" t="inlineStr">
        <is>
          <t>五艘加总（Earnings 第 9 行）。基准情形：30,000+27,000+40,000+22,000+23,000 = 142,000 $/天 × 350 = $49,700,000。</t>
        </is>
      </c>
    </row>
    <row r="10">
      <c r="A10" s="7" t="inlineStr">
        <is>
          <t>第4步</t>
        </is>
      </c>
      <c r="B10" s="17" t="inlineStr">
        <is>
          <t>除以本金得收益率（第 10 行）：49.7M ÷ 250M = 19.9%。</t>
        </is>
      </c>
    </row>
    <row r="11">
      <c r="A11" s="7" t="inlineStr">
        <is>
          <t>第5步</t>
        </is>
      </c>
      <c r="B11" s="17" t="inlineStr">
        <is>
          <t>换行情只换两艘现货船的租金（Assumptions 黄色格）：坏行情用 2025 年平均价 → $43.3M（17.3%）；好行情用现在的现货价 → $53.3M（21.3%）。</t>
        </is>
      </c>
    </row>
    <row r="12">
      <c r="A12" s="7" t="inlineStr">
        <is>
          <t>第6步</t>
        </is>
      </c>
      <c r="B12" s="17" t="inlineStr">
        <is>
          <t>扣营运成本看净赚（第 12-14 行）：五艘每天共 36,560 美元（船员+保险+维修，Clarksons 官方数），×350 天 = $12.8M。净收益 = 49.7 − 12.8 = $36.9M（14.8%）。</t>
        </is>
      </c>
    </row>
    <row r="13">
      <c r="A13" s="7" t="inlineStr">
        <is>
          <t>第7步</t>
        </is>
      </c>
      <c r="B13" s="17" t="inlineStr">
        <is>
          <t>敏感性（Sensitivity 表）：现货租金每变 1,000 美元/天，年收益变 2 艘 × 350 天 × 1,000 = 70 万美元。</t>
        </is>
      </c>
    </row>
    <row r="14">
      <c r="A14" s="3" t="inlineStr"/>
      <c r="B14" s="17" t="inlineStr"/>
    </row>
    <row r="15">
      <c r="A15" s="3" t="inlineStr"/>
      <c r="B15" s="19" t="inlineStr">
        <is>
          <t>四张表对应关系：Assumptions=输入 | Acquisition=买船花了多少钱 | Earnings=第2-6步 | Sensitivity=第7步</t>
        </is>
      </c>
    </row>
    <row r="16">
      <c r="A16" s="3" t="inlineStr"/>
      <c r="B16" s="19" t="inlineStr">
        <is>
          <t>数据出处：Clarksons SIN，2026-09-12 提取；每笔成交的船名和日期都写在 Assumptions 的备注列。</t>
        </is>
      </c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E19"/>
  <sheetViews>
    <sheetView workbookViewId="0">
      <selection activeCell="A1" sqref="A1"/>
    </sheetView>
  </sheetViews>
  <sheetFormatPr baseColWidth="8" defaultRowHeight="15"/>
  <cols>
    <col width="46" customWidth="1" min="1" max="1"/>
    <col width="15" customWidth="1" min="2" max="2"/>
    <col width="15" customWidth="1" min="3" max="3"/>
    <col width="15" customWidth="1" min="4" max="4"/>
    <col width="70" customWidth="1" min="5" max="5"/>
  </cols>
  <sheetData>
    <row r="1">
      <c r="A1" s="1" t="inlineStr">
        <is>
          <t>MT6102 Group Investment Proposal — Key Assumptions</t>
        </is>
      </c>
    </row>
    <row r="2">
      <c r="A2" t="inlineStr">
        <is>
          <t>All rates/prices = last transacted sale/fixture, Clarksons SIN, extracted 12 Sep 2026</t>
        </is>
      </c>
    </row>
    <row r="3">
      <c r="A3" s="2" t="inlineStr">
        <is>
          <t>Legend:  blue = input (edit these) | black = formula | yellow = key scenario levers</t>
        </is>
      </c>
    </row>
    <row r="5">
      <c r="A5" s="3" t="inlineStr">
        <is>
          <t>Fund size (USD m)</t>
        </is>
      </c>
      <c r="B5" s="4" t="n">
        <v>250</v>
      </c>
      <c r="E5" s="5" t="inlineStr">
        <is>
          <t>Assignment brief</t>
        </is>
      </c>
    </row>
    <row r="6">
      <c r="A6" s="3" t="inlineStr">
        <is>
          <t>Operating days per ship per year</t>
        </is>
      </c>
      <c r="B6" s="4" t="n">
        <v>350</v>
      </c>
      <c r="E6" s="5" t="inlineStr">
        <is>
          <t>15 days off-hire/dry-dock allowance</t>
        </is>
      </c>
    </row>
    <row r="7">
      <c r="A7" s="3" t="inlineStr"/>
    </row>
    <row r="8">
      <c r="A8" s="3" t="inlineStr">
        <is>
          <t>OPEX $/day — MR product tanker</t>
        </is>
      </c>
      <c r="B8" s="6" t="n">
        <v>7990</v>
      </c>
      <c r="E8" s="5" t="inlineStr">
        <is>
          <t>Clarksons OPEX series [540687], 2026</t>
        </is>
      </c>
    </row>
    <row r="9">
      <c r="A9" s="3" t="inlineStr">
        <is>
          <t>OPEX $/day — Aframax</t>
        </is>
      </c>
      <c r="B9" s="6" t="n">
        <v>8280</v>
      </c>
      <c r="E9" s="5" t="inlineStr">
        <is>
          <t>[540689], 2026</t>
        </is>
      </c>
    </row>
    <row r="10">
      <c r="A10" s="3" t="inlineStr">
        <is>
          <t>OPEX $/day — Kamsarmax bulker</t>
        </is>
      </c>
      <c r="B10" s="6" t="n">
        <v>6150</v>
      </c>
      <c r="E10" s="5" t="inlineStr">
        <is>
          <t>[540683], 2026</t>
        </is>
      </c>
    </row>
    <row r="11">
      <c r="A11" s="3" t="inlineStr"/>
    </row>
    <row r="12">
      <c r="A12" s="7" t="inlineStr">
        <is>
          <t>SCENARIO SPOT-LEG RATES ($/day)</t>
        </is>
      </c>
      <c r="B12" s="7" t="inlineStr">
        <is>
          <t>Bear</t>
        </is>
      </c>
      <c r="C12" s="7" t="inlineStr">
        <is>
          <t>Base</t>
        </is>
      </c>
      <c r="D12" s="7" t="inlineStr">
        <is>
          <t>Bull</t>
        </is>
      </c>
    </row>
    <row r="13">
      <c r="A13" s="3" t="inlineStr">
        <is>
          <t>MR spot leg</t>
        </is>
      </c>
      <c r="B13" s="8" t="n">
        <v>17600</v>
      </c>
      <c r="C13" s="8" t="n">
        <v>27000</v>
      </c>
      <c r="D13" s="8" t="n">
        <v>35800</v>
      </c>
      <c r="E13" s="5" t="inlineStr">
        <is>
          <t>Bear=2025 avg MR clean [545055]; Base=last-done 1yr fixture Challenge Pollux; Bull=spot 11 Sep [L5]</t>
        </is>
      </c>
    </row>
    <row r="14">
      <c r="A14" s="3" t="inlineStr">
        <is>
          <t>Kamsarmax spot leg</t>
        </is>
      </c>
      <c r="B14" s="8" t="n">
        <v>14000</v>
      </c>
      <c r="C14" s="8" t="n">
        <v>23000</v>
      </c>
      <c r="D14" s="8" t="n">
        <v>24500</v>
      </c>
      <c r="E14" s="5" t="inlineStr">
        <is>
          <t>Bear=long-run 1yr TC mid [540614]; Base=last-done fixture XH Hope; Bull=spot 11 Sep [533288]</t>
        </is>
      </c>
    </row>
    <row r="15">
      <c r="A15" s="3" t="inlineStr"/>
    </row>
    <row r="16">
      <c r="A16" s="7" t="inlineStr">
        <is>
          <t>LOCKED RATES ($/day) — same in all scenarios</t>
        </is>
      </c>
    </row>
    <row r="17">
      <c r="A17" s="3" t="inlineStr">
        <is>
          <t>MR #1 — 1-yr TC (PS Imabari→SUNCOR, 17 Aug 26)</t>
        </is>
      </c>
      <c r="B17" s="6" t="n">
        <v>30000</v>
      </c>
      <c r="E17" s="5" t="inlineStr">
        <is>
          <t>SIN Fixtures Register</t>
        </is>
      </c>
    </row>
    <row r="18">
      <c r="A18" s="3" t="inlineStr">
        <is>
          <t>Aframax — 3-yr TC (Torm Genesis→AET, 31 Aug 26)</t>
        </is>
      </c>
      <c r="B18" s="6" t="n">
        <v>40000</v>
      </c>
      <c r="E18" s="5" t="inlineStr">
        <is>
          <t>SIN Fixtures Register</t>
        </is>
      </c>
    </row>
    <row r="19">
      <c r="A19" s="3" t="inlineStr">
        <is>
          <t>Kamsarmax #1 — 12-mo TC (Intensity, 7 Sep 26)</t>
        </is>
      </c>
      <c r="B19" s="6" t="n">
        <v>22000</v>
      </c>
      <c r="E19" s="5" t="inlineStr">
        <is>
          <t>SIN Fixtures Register</t>
        </is>
      </c>
    </row>
  </sheetData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F11"/>
  <sheetViews>
    <sheetView workbookViewId="0">
      <selection activeCell="A1" sqref="A1"/>
    </sheetView>
  </sheetViews>
  <sheetFormatPr baseColWidth="8" defaultRowHeight="15"/>
  <cols>
    <col width="34" customWidth="1" min="1" max="1"/>
    <col width="16" customWidth="1" min="2" max="2"/>
    <col width="16" customWidth="1" min="3" max="3"/>
    <col width="16" customWidth="1" min="4" max="4"/>
    <col width="16" customWidth="1" min="5" max="5"/>
    <col width="16" customWidth="1" min="6" max="6"/>
    <col width="16" customWidth="1" min="7" max="7"/>
  </cols>
  <sheetData>
    <row r="1">
      <c r="A1" s="1" t="inlineStr">
        <is>
          <t>USD 250m Capital Allocation (prices = last-done S&amp;P comparables)</t>
        </is>
      </c>
    </row>
    <row r="3">
      <c r="A3" s="9" t="inlineStr">
        <is>
          <t>Vessel</t>
        </is>
      </c>
      <c r="B3" s="9" t="inlineStr">
        <is>
          <t>Type / dwt</t>
        </is>
      </c>
      <c r="C3" s="9" t="inlineStr">
        <is>
          <t>Built / builder pref</t>
        </is>
      </c>
      <c r="D3" s="9" t="inlineStr">
        <is>
          <t>Price (USD m)</t>
        </is>
      </c>
      <c r="E3" s="9" t="inlineStr">
        <is>
          <t>Pricing comparable (last done)</t>
        </is>
      </c>
      <c r="F3" s="9" t="inlineStr">
        <is>
          <t>Employment</t>
        </is>
      </c>
    </row>
    <row r="4">
      <c r="A4" s="3" t="inlineStr">
        <is>
          <t>MR #1</t>
        </is>
      </c>
      <c r="B4" s="3" t="inlineStr">
        <is>
          <t>MR2 product / 50k</t>
        </is>
      </c>
      <c r="C4" s="3" t="inlineStr">
        <is>
          <t>2016-17, Korea/Japan</t>
        </is>
      </c>
      <c r="D4" s="10" t="n">
        <v>50</v>
      </c>
      <c r="E4" s="3" t="inlineStr">
        <is>
          <t>5yo benchmark $50m [47130]; High Discovery 2026-08-11</t>
        </is>
      </c>
      <c r="F4" s="3" t="inlineStr">
        <is>
          <t>1-yr TC $30,000 (locked)</t>
        </is>
      </c>
    </row>
    <row r="5">
      <c r="A5" s="3" t="inlineStr">
        <is>
          <t>MR #2</t>
        </is>
      </c>
      <c r="B5" s="3" t="inlineStr">
        <is>
          <t>MR2 product / 50k</t>
        </is>
      </c>
      <c r="C5" s="3" t="inlineStr">
        <is>
          <t>2016-17, Korea/Japan</t>
        </is>
      </c>
      <c r="D5" s="10" t="n">
        <v>50</v>
      </c>
      <c r="E5" s="3" t="inlineStr">
        <is>
          <t>5yo benchmark $50m [47130]</t>
        </is>
      </c>
      <c r="F5" s="3" t="inlineStr">
        <is>
          <t>Spot (scenario)</t>
        </is>
      </c>
    </row>
    <row r="6">
      <c r="A6" s="3" t="inlineStr">
        <is>
          <t>Aframax</t>
        </is>
      </c>
      <c r="B6" s="3" t="inlineStr">
        <is>
          <t>Crude / 110-115k</t>
        </is>
      </c>
      <c r="C6" s="3" t="inlineStr">
        <is>
          <t>2018, Japan (Tsuneishi)</t>
        </is>
      </c>
      <c r="D6" s="10" t="n">
        <v>75</v>
      </c>
      <c r="E6" s="3" t="inlineStr">
        <is>
          <t>Southern Reverence / Pusaka Borneo $75.0m (Apr-May 26)</t>
        </is>
      </c>
      <c r="F6" s="3" t="inlineStr">
        <is>
          <t>3-yr TC $40,000 (locked)</t>
        </is>
      </c>
    </row>
    <row r="7">
      <c r="A7" s="3" t="inlineStr">
        <is>
          <t>Kamsarmax #1</t>
        </is>
      </c>
      <c r="B7" s="3" t="inlineStr">
        <is>
          <t>Bulker / 82k</t>
        </is>
      </c>
      <c r="C7" s="3" t="inlineStr">
        <is>
          <t>2019, Japan (Oshima)</t>
        </is>
      </c>
      <c r="D7" s="10" t="n">
        <v>38</v>
      </c>
      <c r="E7" s="3" t="inlineStr">
        <is>
          <t>Aquavita Aim $38.0m (10 Aug 26)</t>
        </is>
      </c>
      <c r="F7" s="3" t="inlineStr">
        <is>
          <t>12-mo TC $22,000 (locked)</t>
        </is>
      </c>
    </row>
    <row r="8">
      <c r="A8" s="3" t="inlineStr">
        <is>
          <t>Kamsarmax #2</t>
        </is>
      </c>
      <c r="B8" s="3" t="inlineStr">
        <is>
          <t>Bulker / 82k</t>
        </is>
      </c>
      <c r="C8" s="3" t="inlineStr">
        <is>
          <t>2015, Japan (Tsuneishi)</t>
        </is>
      </c>
      <c r="D8" s="10" t="n">
        <v>32</v>
      </c>
      <c r="E8" s="3" t="inlineStr">
        <is>
          <t>Medi Positano $32.0m (10 Aug 26)</t>
        </is>
      </c>
      <c r="F8" s="3" t="inlineStr">
        <is>
          <t>Spot (scenario)</t>
        </is>
      </c>
    </row>
    <row r="9">
      <c r="A9" s="7" t="inlineStr">
        <is>
          <t>Total vessel capex</t>
        </is>
      </c>
      <c r="D9" s="11">
        <f>SUM(D4:D8)</f>
        <v/>
      </c>
    </row>
    <row r="10">
      <c r="A10" s="3" t="inlineStr">
        <is>
          <t>Cash reserve / opportunity fund (buy the collapse)</t>
        </is>
      </c>
      <c r="D10" s="12">
        <f>Assumptions!B5-D9</f>
        <v/>
      </c>
    </row>
    <row r="11">
      <c r="A11" s="7" t="inlineStr">
        <is>
          <t>Total fund</t>
        </is>
      </c>
      <c r="D11" s="11">
        <f>D9+D10</f>
        <v/>
      </c>
    </row>
  </sheetData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D16"/>
  <sheetViews>
    <sheetView workbookViewId="0">
      <selection activeCell="A1" sqref="A1"/>
    </sheetView>
  </sheetViews>
  <sheetFormatPr baseColWidth="8" defaultRowHeight="15"/>
  <cols>
    <col width="34" customWidth="1" min="1" max="1"/>
    <col width="16" customWidth="1" min="2" max="2"/>
    <col width="16" customWidth="1" min="3" max="3"/>
    <col width="16" customWidth="1" min="4" max="4"/>
    <col width="16" customWidth="1" min="5" max="5"/>
  </cols>
  <sheetData>
    <row r="1">
      <c r="A1" s="1" t="inlineStr">
        <is>
          <t>12-Month Earnings Forecast, before OPEX (assignment basis)</t>
        </is>
      </c>
    </row>
    <row r="3">
      <c r="A3" s="9" t="inlineStr">
        <is>
          <t>Vessel ($/yr)</t>
        </is>
      </c>
      <c r="B3" s="9" t="inlineStr">
        <is>
          <t>Bear</t>
        </is>
      </c>
      <c r="C3" s="9" t="inlineStr">
        <is>
          <t>Base</t>
        </is>
      </c>
      <c r="D3" s="9" t="inlineStr">
        <is>
          <t>Bull</t>
        </is>
      </c>
    </row>
    <row r="4">
      <c r="A4" t="inlineStr">
        <is>
          <t>MR #1 (locked)</t>
        </is>
      </c>
      <c r="B4" s="12">
        <f>Assumptions!$B$17*Assumptions!$B$6</f>
        <v/>
      </c>
      <c r="C4" s="12">
        <f>Assumptions!$B$17*Assumptions!$B$6</f>
        <v/>
      </c>
      <c r="D4" s="12">
        <f>Assumptions!$B$17*Assumptions!$B$6</f>
        <v/>
      </c>
    </row>
    <row r="5">
      <c r="A5" t="inlineStr">
        <is>
          <t>MR #2 (spot)</t>
        </is>
      </c>
      <c r="B5" s="12">
        <f>Assumptions!B$13*Assumptions!$B$6</f>
        <v/>
      </c>
      <c r="C5" s="12">
        <f>Assumptions!C$13*Assumptions!$B$6</f>
        <v/>
      </c>
      <c r="D5" s="12">
        <f>Assumptions!D$13*Assumptions!$B$6</f>
        <v/>
      </c>
    </row>
    <row r="6">
      <c r="A6" t="inlineStr">
        <is>
          <t>Aframax (locked 3-yr)</t>
        </is>
      </c>
      <c r="B6" s="12">
        <f>Assumptions!$B$18*Assumptions!$B$6</f>
        <v/>
      </c>
      <c r="C6" s="12">
        <f>Assumptions!$B$18*Assumptions!$B$6</f>
        <v/>
      </c>
      <c r="D6" s="12">
        <f>Assumptions!$B$18*Assumptions!$B$6</f>
        <v/>
      </c>
    </row>
    <row r="7">
      <c r="A7" t="inlineStr">
        <is>
          <t>Kamsarmax #1 (locked)</t>
        </is>
      </c>
      <c r="B7" s="12">
        <f>Assumptions!$B$19*Assumptions!$B$6</f>
        <v/>
      </c>
      <c r="C7" s="12">
        <f>Assumptions!$B$19*Assumptions!$B$6</f>
        <v/>
      </c>
      <c r="D7" s="12">
        <f>Assumptions!$B$19*Assumptions!$B$6</f>
        <v/>
      </c>
    </row>
    <row r="8">
      <c r="A8" t="inlineStr">
        <is>
          <t>Kamsarmax #2 (spot)</t>
        </is>
      </c>
      <c r="B8" s="12">
        <f>Assumptions!B$14*Assumptions!$B$6</f>
        <v/>
      </c>
      <c r="C8" s="12">
        <f>Assumptions!C$14*Assumptions!$B$6</f>
        <v/>
      </c>
      <c r="D8" s="12">
        <f>Assumptions!D$14*Assumptions!$B$6</f>
        <v/>
      </c>
    </row>
    <row r="9">
      <c r="A9" s="7" t="inlineStr">
        <is>
          <t>Total gross earnings (before OPEX)</t>
        </is>
      </c>
      <c r="B9" s="11">
        <f>SUM(B4:B8)</f>
        <v/>
      </c>
      <c r="C9" s="11">
        <f>SUM(C4:C8)</f>
        <v/>
      </c>
      <c r="D9" s="11">
        <f>SUM(D4:D8)</f>
        <v/>
      </c>
    </row>
    <row r="10">
      <c r="A10" t="inlineStr">
        <is>
          <t>Yield on USD 250m fund (before OPEX)</t>
        </is>
      </c>
      <c r="B10" s="13">
        <f>B9/(Assumptions!$B$5*1000000)</f>
        <v/>
      </c>
      <c r="C10" s="13">
        <f>C9/(Assumptions!$B$5*1000000)</f>
        <v/>
      </c>
      <c r="D10" s="13">
        <f>D9/(Assumptions!$B$5*1000000)</f>
        <v/>
      </c>
    </row>
    <row r="12">
      <c r="A12" s="7" t="inlineStr">
        <is>
          <t>OPEX (5 ships)</t>
        </is>
      </c>
      <c r="B12" s="12">
        <f>(2*Assumptions!$B$8+Assumptions!$B$9+2*Assumptions!$B$10)*Assumptions!$B$6</f>
        <v/>
      </c>
      <c r="C12" s="12">
        <f>(2*Assumptions!$B$8+Assumptions!$B$9+2*Assumptions!$B$10)*Assumptions!$B$6</f>
        <v/>
      </c>
      <c r="D12" s="12">
        <f>(2*Assumptions!$B$8+Assumptions!$B$9+2*Assumptions!$B$10)*Assumptions!$B$6</f>
        <v/>
      </c>
    </row>
    <row r="13">
      <c r="A13" s="7" t="inlineStr">
        <is>
          <t>Net earnings (after OPEX) — Q&amp;A reference</t>
        </is>
      </c>
      <c r="B13" s="11">
        <f>B9-B12</f>
        <v/>
      </c>
      <c r="C13" s="11">
        <f>C9-C12</f>
        <v/>
      </c>
      <c r="D13" s="11">
        <f>D9-D12</f>
        <v/>
      </c>
    </row>
    <row r="14">
      <c r="A14" t="inlineStr">
        <is>
          <t>Net yield on fund</t>
        </is>
      </c>
      <c r="B14" s="13">
        <f>B13/(Assumptions!$B$5*1000000)</f>
        <v/>
      </c>
      <c r="C14" s="13">
        <f>C13/(Assumptions!$B$5*1000000)</f>
        <v/>
      </c>
      <c r="D14" s="13">
        <f>D13/(Assumptions!$B$5*1000000)</f>
        <v/>
      </c>
    </row>
    <row r="16">
      <c r="A16" s="2" t="inlineStr">
        <is>
          <t>Note: 60% of operating days fixed to SUNCOR/AET/first-class charterers — bear-case floor.</t>
        </is>
      </c>
    </row>
  </sheetData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C12"/>
  <sheetViews>
    <sheetView workbookViewId="0">
      <selection activeCell="A1" sqref="A1"/>
    </sheetView>
  </sheetViews>
  <sheetFormatPr baseColWidth="8" defaultRowHeight="15"/>
  <cols>
    <col width="44" customWidth="1" min="1" max="1"/>
    <col width="18" customWidth="1" min="2" max="2"/>
    <col width="18" customWidth="1" min="3" max="3"/>
  </cols>
  <sheetData>
    <row r="1">
      <c r="A1" s="1" t="inlineStr">
        <is>
          <t>Sensitivity — Base scenario, before OPEX</t>
        </is>
      </c>
    </row>
    <row r="3">
      <c r="A3" s="7" t="inlineStr">
        <is>
          <t>Δ spot rate ($/day, applied to both spot ships)</t>
        </is>
      </c>
      <c r="B3" s="7" t="inlineStr">
        <is>
          <t>Δ earnings ($/yr)</t>
        </is>
      </c>
      <c r="C3" s="7" t="inlineStr">
        <is>
          <t>Portfolio total ($/yr)</t>
        </is>
      </c>
    </row>
    <row r="4">
      <c r="A4" s="14" t="n">
        <v>-5000</v>
      </c>
      <c r="B4" s="15">
        <f>2*A4*Assumptions!$B$6</f>
        <v/>
      </c>
      <c r="C4" s="12">
        <f>Earnings!$C$9+B4</f>
        <v/>
      </c>
    </row>
    <row r="5">
      <c r="A5" s="14" t="n">
        <v>-2500</v>
      </c>
      <c r="B5" s="15">
        <f>2*A5*Assumptions!$B$6</f>
        <v/>
      </c>
      <c r="C5" s="12">
        <f>Earnings!$C$9+B5</f>
        <v/>
      </c>
    </row>
    <row r="6">
      <c r="A6" s="14" t="n">
        <v>-1000</v>
      </c>
      <c r="B6" s="15">
        <f>2*A6*Assumptions!$B$6</f>
        <v/>
      </c>
      <c r="C6" s="12">
        <f>Earnings!$C$9+B6</f>
        <v/>
      </c>
    </row>
    <row r="7">
      <c r="A7" s="14" t="n">
        <v>0</v>
      </c>
      <c r="B7" s="15">
        <f>2*A7*Assumptions!$B$6</f>
        <v/>
      </c>
      <c r="C7" s="12">
        <f>Earnings!$C$9+B7</f>
        <v/>
      </c>
    </row>
    <row r="8">
      <c r="A8" s="14" t="n">
        <v>1000</v>
      </c>
      <c r="B8" s="15">
        <f>2*A8*Assumptions!$B$6</f>
        <v/>
      </c>
      <c r="C8" s="12">
        <f>Earnings!$C$9+B8</f>
        <v/>
      </c>
    </row>
    <row r="9">
      <c r="A9" s="14" t="n">
        <v>2500</v>
      </c>
      <c r="B9" s="15">
        <f>2*A9*Assumptions!$B$6</f>
        <v/>
      </c>
      <c r="C9" s="12">
        <f>Earnings!$C$9+B9</f>
        <v/>
      </c>
    </row>
    <row r="10">
      <c r="A10" s="14" t="n">
        <v>5000</v>
      </c>
      <c r="B10" s="15">
        <f>2*A10*Assumptions!$B$6</f>
        <v/>
      </c>
      <c r="C10" s="12">
        <f>Earnings!$C$9+B10</f>
        <v/>
      </c>
    </row>
    <row r="12">
      <c r="A12" s="2" t="inlineStr">
        <is>
          <t>Rule of thumb: every $1,000/day on the spot legs = $0.7m per year.</t>
        </is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2026-09-12T15:56:36Z</dcterms:created>
  <dcterms:modified xsi:type="dcterms:W3CDTF">2026-09-14T11:47:01Z</dcterms:modified>
</cp:coreProperties>
</file>