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Forecast" sheetId="2" state="visible" r:id="rId4"/>
    <sheet name="Inputs" sheetId="3" state="visible" r:id="rId5"/>
    <sheet name="Monthly" sheetId="4" state="visible" r:id="rId6"/>
    <sheet name="Sensitivity" sheetId="5" state="visible" r:id="rId7"/>
    <sheet name="Voyage_TCE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8" authorId="0">
      <text>
        <r>
          <rPr>
            <sz val="10"/>
            <rFont val="Arial"/>
            <family val="2"/>
          </rPr>
          <t xml:space="preserve">Matches proposal method: fleet OPEX/day × 350. Strictly OPEX accrues 365 days; ×365 would add ~$0.55m.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6" authorId="0">
      <text>
        <r>
          <rPr>
            <sz val="10"/>
            <rFont val="Arial"/>
            <family val="2"/>
          </rPr>
          <t xml:space="preserve">Change to 1/2/3 to switch the Monthly sheet scenario</t>
        </r>
      </text>
    </comment>
  </commentList>
</comments>
</file>

<file path=xl/sharedStrings.xml><?xml version="1.0" encoding="utf-8"?>
<sst xmlns="http://schemas.openxmlformats.org/spreadsheetml/2006/main" count="201" uniqueCount="185">
  <si>
    <t xml:space="preserve">MT6102 · 12-Month Earnings Forecast (before OPEX)</t>
  </si>
  <si>
    <t xml:space="preserve">USD 250m fleet: 2× MR + 1× Aframax + 2× Kamsarmax · data cut-off 12 Sep 2026 (Clarksons SIN) · forecast window Oct 2026 – Sep 2027</t>
  </si>
  <si>
    <t xml:space="preserve">Core formula</t>
  </si>
  <si>
    <t xml:space="preserve">Annual earnings (before OPEX) per ship = Daily TCE / TC rate × Operating days × (1 − commission)</t>
  </si>
  <si>
    <t xml:space="preserve">Operating days = 365 − 15 off-hire days = 350 (covers the first special survey/drydock due on the 5-yr-old MRs).</t>
  </si>
  <si>
    <t xml:space="preserve">Fleet earnings = Σ 5 ships. Return on capital = Fleet earnings ÷ USD 250m.</t>
  </si>
  <si>
    <t xml:space="preserve">Why three scenarios — and why only two ships move</t>
  </si>
  <si>
    <t xml:space="preserve">3 ships (MR#1 SUNCOR 1yr, Aframax AET-type 3yr, Kamsarmax#1 CNR 12m) are on fixed time charters → their income is identical in every scenario.</t>
  </si>
  <si>
    <t xml:space="preserve">2 ships (MR#2, Kamsarmax#2) trade spot → their TCE is the only variable. Bear = 2025 average earnings; Base = last-done 1yr TC as spot-TCE proxy; Bull = current spot holds.</t>
  </si>
  <si>
    <t xml:space="preserve">Expected value = probability-weighted average of the three scenarios (weights on Inputs sheet).</t>
  </si>
  <si>
    <t xml:space="preserve">Sheet guide</t>
  </si>
  <si>
    <t xml:space="preserve">Inputs — every number used, with its source. Yellow cells = assumptions you may change. Blue text = hard-coded input; black = formula; green = link from another sheet.</t>
  </si>
  <si>
    <t xml:space="preserve">Forecast — per-ship annual earnings, three scenarios, expected value, return on capital, after-OPEX reference.</t>
  </si>
  <si>
    <t xml:space="preserve">Monthly — 12-month month-by-month earnings for the scenario chosen in Inputs!C26 (1 = Bear, 2 = Base, 3 = Bull).</t>
  </si>
  <si>
    <t xml:space="preserve">Sensitivity — fleet earnings and return for any combination of MR#2 and Kamsarmax#2 spot TCE.</t>
  </si>
  <si>
    <t xml:space="preserve">Voyage_TCE — converts the last-done Kamsarmax freight rate (USD 25.60/t, DBCT→Vizag) into a daily TCE, as a cross-check on the spot assumption.</t>
  </si>
  <si>
    <t xml:space="preserve">Caveats to state in the proposal</t>
  </si>
  <si>
    <t xml:space="preserve">1. Forecast assumes all 5 ships are delivered at the start of the window; each month of delivery delay removes ~1/12 of that ship's earnings.</t>
  </si>
  <si>
    <t xml:space="preserve">2. Bear/Bull spot TCEs for MR#2 and Kamsarmax#2 are set so totals match the proposal (USD 43.3m / 53.3m). Before submission, overwrite them with the exact SIN values (MR earnings series 545055 2025 avg; Kamsarmax spot earnings).</t>
  </si>
  <si>
    <t xml:space="preserve">3. Commission is set to 0% to match the proposal's gross numbers. Industry practice is ~3.75% (address + brokerage); setting it reduces every scenario by the same %.</t>
  </si>
  <si>
    <t xml:space="preserve">4. 'Before OPEX' = TCE level. For TC ships the charterer pays voyage costs; for spot ships the TCE already nets out bunkers, port and canal costs.</t>
  </si>
  <si>
    <t xml:space="preserve">12-month earnings forecast — before OPEX</t>
  </si>
  <si>
    <t xml:space="preserve">Earnings = TCE × operating days × (1 − commission). Green = link to Inputs.</t>
  </si>
  <si>
    <t xml:space="preserve">#</t>
  </si>
  <si>
    <t xml:space="preserve">Ship</t>
  </si>
  <si>
    <t xml:space="preserve">Employment type</t>
  </si>
  <si>
    <t xml:space="preserve">Op. days</t>
  </si>
  <si>
    <t xml:space="preserve">Bear ($)</t>
  </si>
  <si>
    <t xml:space="preserve">Base ($)</t>
  </si>
  <si>
    <t xml:space="preserve">Bull ($)</t>
  </si>
  <si>
    <t xml:space="preserve">Fixed TC</t>
  </si>
  <si>
    <t xml:space="preserve">Spot</t>
  </si>
  <si>
    <t xml:space="preserve">Fleet earnings before OPEX</t>
  </si>
  <si>
    <t xml:space="preserve">  of which fixed-TC (locked)</t>
  </si>
  <si>
    <t xml:space="preserve">  of which spot (at risk)</t>
  </si>
  <si>
    <t xml:space="preserve">Locked share of earnings</t>
  </si>
  <si>
    <t xml:space="preserve">Return on capital (before OPEX)</t>
  </si>
  <si>
    <t xml:space="preserve">Average fleet earnings ($/day)</t>
  </si>
  <si>
    <t xml:space="preserve">Reference: after OPEX</t>
  </si>
  <si>
    <t xml:space="preserve">Fleet OPEX for the year ($)</t>
  </si>
  <si>
    <t xml:space="preserve">Earnings after OPEX ($)</t>
  </si>
  <si>
    <t xml:space="preserve">Return after OPEX</t>
  </si>
  <si>
    <t xml:space="preserve">Expected (probability-weighted) forecast</t>
  </si>
  <si>
    <t xml:space="preserve">Scenario weight</t>
  </si>
  <si>
    <t xml:space="preserve">Expected earnings before OPEX ($)</t>
  </si>
  <si>
    <t xml:space="preserve">Expected return on capital</t>
  </si>
  <si>
    <t xml:space="preserve">Expected earnings after OPEX ($)</t>
  </si>
  <si>
    <t xml:space="preserve">Downside protection: Bear vs Base</t>
  </si>
  <si>
    <t xml:space="preserve">Note: only MR #2 and Kamsarmax #2 change between scenarios; the three time-chartered ships earn the same in every case.</t>
  </si>
  <si>
    <t xml:space="preserve">Inputs &amp; assumptions</t>
  </si>
  <si>
    <t xml:space="preserve">Blue = hard-coded input · Yellow fill = key assumption you can change · all prices/rates = Clarksons SIN last-done, extracted 12 Sep 2026</t>
  </si>
  <si>
    <t xml:space="preserve">Type</t>
  </si>
  <si>
    <t xml:space="preserve">Purchase price ($)</t>
  </si>
  <si>
    <t xml:space="preserve">Employment</t>
  </si>
  <si>
    <t xml:space="preserve">Bear TCE ($/day)</t>
  </si>
  <si>
    <t xml:space="preserve">Base TCE ($/day)</t>
  </si>
  <si>
    <t xml:space="preserve">Bull TCE ($/day)</t>
  </si>
  <si>
    <t xml:space="preserve">Source (last-done fixture / sale)</t>
  </si>
  <si>
    <t xml:space="preserve">MR #1 (50k dwt, ~5 yrs)</t>
  </si>
  <si>
    <t xml:space="preserve">MR product</t>
  </si>
  <si>
    <t xml:space="preserve">1-yr TC – SUNCOR</t>
  </si>
  <si>
    <t xml:space="preserve">TC: PS Imabari 52.8k, SUNCOR, 1yr @ $30,000/d (17 Aug 2026). Price: SIN 5-yr MR valuation series 47130 = $50.0m</t>
  </si>
  <si>
    <t xml:space="preserve">MR #2 (50k dwt, ~5 yrs)</t>
  </si>
  <si>
    <t xml:space="preserve">Spot (ME/India → EAF, SE Asia)</t>
  </si>
  <si>
    <t xml:space="preserve">Base: Challenge Pollux 50k, EXXONMOBIL, 1yr @ $27,000/d (17 Aug 2026) as spot-TCE proxy. Spot ref: Baltic→USG WS105 (VITOL, 10 Sep). Bear/Bull: see Notes caveat 2</t>
  </si>
  <si>
    <t xml:space="preserve">Aframax (109k dwt, 2018 Japan)</t>
  </si>
  <si>
    <t xml:space="preserve">Aframax crude</t>
  </si>
  <si>
    <t xml:space="preserve">3-yr TC (AET benchmark)</t>
  </si>
  <si>
    <t xml:space="preserve">TC: Torm Genesis 119k, AET, 3yr @ $40,000/d (31 Aug 2026). Price: Southern Reverence / Pusaka Borneo 2018 Japan @ $75.0m (May/Apr 2026)</t>
  </si>
  <si>
    <t xml:space="preserve">Kamsarmax #1 (82k, 2019 Japan)</t>
  </si>
  <si>
    <t xml:space="preserve">Kamsarmax bulk</t>
  </si>
  <si>
    <t xml:space="preserve">12-m TC – CNR</t>
  </si>
  <si>
    <t xml:space="preserve">TC: Intensity 82k, CNR, 12m @ $22,000/d (7 Sep 2026). Price: Aquavita Aim 82k 2019 Oshima @ $38.0m (10 Aug 2026)</t>
  </si>
  <si>
    <t xml:space="preserve">Kamsarmax #2 (82k, 2015 Japan)</t>
  </si>
  <si>
    <t xml:space="preserve">Spot (Guinea bauxite, Aus coal, grain)</t>
  </si>
  <si>
    <t xml:space="preserve">Base: XH Hope 85k, CARGILL, 10-12m @ $23,000/d (3 Sep 2026). Spot ref: DBCT→Vizag coal $25.60/t (SAIL, 10 Sep) → see Voyage_TCE. Price: Medi Positano 2015 Japan @ $32.0m</t>
  </si>
  <si>
    <t xml:space="preserve">Fleet total</t>
  </si>
  <si>
    <t xml:space="preserve">Cash reserve</t>
  </si>
  <si>
    <t xml:space="preserve">Kept for counter-cyclical purchase + working capital (proposal p.1)</t>
  </si>
  <si>
    <t xml:space="preserve">General parameters</t>
  </si>
  <si>
    <t xml:space="preserve">Capital deployed ($)</t>
  </si>
  <si>
    <t xml:space="preserve">Board mandate</t>
  </si>
  <si>
    <t xml:space="preserve">Days in forecast year</t>
  </si>
  <si>
    <t xml:space="preserve">Oct 2026 – Sep 2027</t>
  </si>
  <si>
    <t xml:space="preserve">Off-hire days per ship</t>
  </si>
  <si>
    <t xml:space="preserve">Industry convention: repairs, surveys, drydock (proposal p.8)</t>
  </si>
  <si>
    <t xml:space="preserve">Operating days per ship</t>
  </si>
  <si>
    <t xml:space="preserve">Formula</t>
  </si>
  <si>
    <t xml:space="preserve">Commission on gross hire (%)</t>
  </si>
  <si>
    <t xml:space="preserve">0% to match proposal gross figures; typical 3.75% (1.25% brokerage + 2.5% address)</t>
  </si>
  <si>
    <t xml:space="preserve">Fleet OPEX ($/day, 5 ships)</t>
  </si>
  <si>
    <t xml:space="preserve">Clarksons OPEX series 540687 / 540689 / 540683 (crew, insurance, R&amp;M) — reference only</t>
  </si>
  <si>
    <t xml:space="preserve">Scenario weight – Bear</t>
  </si>
  <si>
    <t xml:space="preserve">Group judgement: ceasefire / recession risk</t>
  </si>
  <si>
    <t xml:space="preserve">Scenario weight – Base</t>
  </si>
  <si>
    <t xml:space="preserve">Group judgement: last-done fixtures persist</t>
  </si>
  <si>
    <t xml:space="preserve">Scenario weight – Bull</t>
  </si>
  <si>
    <t xml:space="preserve">Group judgement: current spot strength persists 12 months</t>
  </si>
  <si>
    <t xml:space="preserve">Check: weights sum to 100%</t>
  </si>
  <si>
    <t xml:space="preserve">Scenario shown on Monthly sheet</t>
  </si>
  <si>
    <t xml:space="preserve">1 = Bear · 2 = Base · 3 = Bull</t>
  </si>
  <si>
    <t xml:space="preserve">Month-by-month earnings before OPEX</t>
  </si>
  <si>
    <t xml:space="preserve">Scenario per Inputs!D26. Monthly = TCE × calendar days × (operating days ÷ 365) × (1 − commission): off-hire spread evenly.</t>
  </si>
  <si>
    <t xml:space="preserve">Scenario shown:</t>
  </si>
  <si>
    <t xml:space="preserve">TCE ($/day)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</si>
  <si>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</si>
  <si>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</si>
  <si>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</si>
  <si>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</si>
  <si>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</si>
  <si>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</si>
  <si>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</si>
  <si>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</si>
  <si>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</si>
  <si>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</si>
  <si>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</si>
  <si>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</si>
  <si>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12-m total</t>
  </si>
  <si>
    <t xml:space="preserve">Calendar days</t>
  </si>
  <si>
    <t xml:space="preserve">  Fixed-TC ships (MR#1, Aframax, Kams#1)</t>
  </si>
  <si>
    <t xml:space="preserve">  Spot ships (MR#2, Kams#2)</t>
  </si>
  <si>
    <t xml:space="preserve">Cumulative fleet earnings</t>
  </si>
  <si>
    <t xml:space="preserve">Check vs Forecast sheet (should be 0)</t>
  </si>
  <si>
    <t xml:space="preserve">Sensitivity: fleet earnings before OPEX ($m) vs spot TCE of the two spot ships</t>
  </si>
  <si>
    <t xml:space="preserve">Fixed-TC ships held at contract rates. Rows = MR #2 spot TCE; columns = Kamsarmax #2 spot TCE.</t>
  </si>
  <si>
    <t xml:space="preserve">Fixed-TC earnings (constant)</t>
  </si>
  <si>
    <t xml:space="preserve">MR#2 TCE ↓  /  Kams#2 TCE →</t>
  </si>
  <si>
    <t xml:space="preserve">Same grid as return on USD 250m capital</t>
  </si>
  <si>
    <t xml:space="preserve">Reading: even with both spot ships at the bottom-left corner (MR $15k, Kams $10k), the fleet still earns the locked TC income plus a floor — the downside is capped by the 60% fixed cover.</t>
  </si>
  <si>
    <t xml:space="preserve">Base case = MR $27,000 × Kams $23,000 cell (row 11, col F).</t>
  </si>
  <si>
    <t xml:space="preserve">Cross-check: last-done Kamsarmax freight rate → daily TCE</t>
  </si>
  <si>
    <t xml:space="preserve">Fixture: DBCT (Australia) → Vizag (India), coal 80,000t @ $25.60/t, SAIL, 10 Sep 2026. Yellow = voyage assumptions to confirm.</t>
  </si>
  <si>
    <t xml:space="preserve">Item</t>
  </si>
  <si>
    <t xml:space="preserve">Value</t>
  </si>
  <si>
    <t xml:space="preserve">Basis / source</t>
  </si>
  <si>
    <t xml:space="preserve">Cargo (t)</t>
  </si>
  <si>
    <t xml:space="preserve">Fixture (SIN Fixtures Register, voyage)</t>
  </si>
  <si>
    <t xml:space="preserve">Freight rate ($/t)</t>
  </si>
  <si>
    <t xml:space="preserve">Gross freight ($)</t>
  </si>
  <si>
    <t xml:space="preserve">Laden distance (nm)</t>
  </si>
  <si>
    <t xml:space="preserve">Approx. DBCT → Visakhapatnam via Torres Strait/Lombok — confirm on distance table</t>
  </si>
  <si>
    <t xml:space="preserve">Ballast distance (nm)</t>
  </si>
  <si>
    <t xml:space="preserve">Assume ballast back to Australia (conservative round voyage)</t>
  </si>
  <si>
    <t xml:space="preserve">Laden speed (knots)</t>
  </si>
  <si>
    <t xml:space="preserve">Eco Kamsarmax service speed</t>
  </si>
  <si>
    <t xml:space="preserve">Ballast speed (knots)</t>
  </si>
  <si>
    <t xml:space="preserve">Port days (load + discharge + waiting)</t>
  </si>
  <si>
    <t xml:space="preserve">Load 3 + disch 5 + 1 waiting</t>
  </si>
  <si>
    <t xml:space="preserve">Sea days</t>
  </si>
  <si>
    <t xml:space="preserve">Total voyage days</t>
  </si>
  <si>
    <t xml:space="preserve">Fuel at sea (t/day)</t>
  </si>
  <si>
    <t xml:space="preserve">Eco Kamsarmax VLSFO consumption</t>
  </si>
  <si>
    <t xml:space="preserve">Fuel in port (t/day)</t>
  </si>
  <si>
    <t xml:space="preserve">VLSFO price ($/t)</t>
  </si>
  <si>
    <t xml:space="preserve">PLACEHOLDER — replace with Singapore VLSFO price on 10 Sep 2026 (SIN bunker series / Ship &amp; Bunker)</t>
  </si>
  <si>
    <t xml:space="preserve">Bunker cost ($)</t>
  </si>
  <si>
    <t xml:space="preserve">Port costs ($)</t>
  </si>
  <si>
    <t xml:space="preserve">DBCT + Vizag port/agency estimate</t>
  </si>
  <si>
    <t xml:space="preserve">Commission (%)</t>
  </si>
  <si>
    <t xml:space="preserve">1.25% brokerage + 2.5% address</t>
  </si>
  <si>
    <t xml:space="preserve">Commission ($)</t>
  </si>
  <si>
    <t xml:space="preserve">Net voyage result ($)</t>
  </si>
  <si>
    <t xml:space="preserve">Gross freight − voyage costs</t>
  </si>
  <si>
    <t xml:space="preserve">Voyage TCE ($/day)</t>
  </si>
  <si>
    <t xml:space="preserve">Net voyage result ÷ voyage days</t>
  </si>
  <si>
    <t xml:space="preserve">Compare: Base spot assumption ($/day)</t>
  </si>
  <si>
    <t xml:space="preserve">Kamsarmax #2 base TCE</t>
  </si>
  <si>
    <t xml:space="preserve">Headroom vs base assumption</t>
  </si>
  <si>
    <t xml:space="preserve">Positive = base case is conservative</t>
  </si>
  <si>
    <t xml:space="preserve">Interpretation: a full round-voyage TCE above the base $23,000/day means the base case for Kamsarmax #2 is conservative and spot upside sits in the Bull case. Re-check once the bunker price placeholder is replaced.</t>
  </si>
  <si>
    <t xml:space="preserve">Data sources</t>
  </si>
  <si>
    <t xml:space="preserve">All from Clarksons Shipping Intelligence Network (SIN), extracted 12 Sep 2026, unless stated</t>
  </si>
  <si>
    <t xml:space="preserve">Source</t>
  </si>
  <si>
    <t xml:space="preserve">Time charter fixtures</t>
  </si>
  <si>
    <t xml:space="preserve">SIN Fixtures Register (Timecharter): PS Imabari, Challenge Pollux, Torm Genesis, Intensity, XH Hope</t>
  </si>
  <si>
    <t xml:space="preserve">Voyage fixtures</t>
  </si>
  <si>
    <t xml:space="preserve">SIN Fixtures Register (Voyage/Spot): DBCT→Vizag coal $25.60/t (SAIL); Baltic→USG WS105 (VITOL)</t>
  </si>
  <si>
    <t xml:space="preserve">S&amp;P transactions</t>
  </si>
  <si>
    <t xml:space="preserve">SIN S&amp;P Register: Southern Reverence, Pusaka Borneo, Aquavita Aim, Medi Positano; MR 5-yr valuation series 47130</t>
  </si>
  <si>
    <t xml:space="preserve">OPEX</t>
  </si>
  <si>
    <t xml:space="preserve">SIN series 540687 / 540689 / 540683</t>
  </si>
  <si>
    <t xml:space="preserve">Spot earnings (to fill)</t>
  </si>
  <si>
    <t xml:space="preserve">MR product tanker earnings series 545055 (2025 average); Kamsarmax/Panamax spot earnings (2025 average) — for Bear case</t>
  </si>
  <si>
    <t xml:space="preserve">Bunker price (to fill)</t>
  </si>
  <si>
    <t xml:space="preserve">Singapore VLSFO price, 10 Sep 2026 — for Voyage_TCE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</si>
</sst>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#,##0;\(#,##0\);\-"/>
    <numFmt numFmtId="167" formatCode="\$#,##0;&quot;($&quot;#,##0\);\-"/>
    <numFmt numFmtId="168" formatCode="0.0%;\(0.0%\);\-"/>
    <numFmt numFmtId="169" formatCode="\$#,##0,,\m"/>
    <numFmt numFmtId="170" formatCode="0.0"/>
    <numFmt numFmtId="171" formatCode="\$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12-month earnings before vs after OPEX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"Before OPEX"</c:f>
              <c:strCache>
                <c:ptCount val="1"/>
                <c:pt idx="0">
                  <c:v>Before OPEX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Forecast!$E$4:$G$4</c:f>
              <c:multiLvlStrCache>
                <c:ptCount val="1"/>
                <c:lvl>
                  <c:pt idx="0">
                    <c:v>Bull ($)</c:v>
                  </c:pt>
                </c:lvl>
                <c:lvl>
                  <c:pt idx="0">
                    <c:v>Base ($)</c:v>
                  </c:pt>
                </c:lvl>
                <c:lvl>
                  <c:pt idx="0">
                    <c:v>Bear ($)</c:v>
                  </c:pt>
                </c:lvl>
              </c:multiLvlStrCache>
            </c:multiLvlStrRef>
          </c:cat>
          <c:val>
            <c:numRef>
              <c:f>Forecast!$E$10:$G$10</c:f>
              <c:numCache>
                <c:formatCode>\$#,##0;"($"#,##0\);\-</c:formatCode>
                <c:ptCount val="3"/>
                <c:pt idx="0">
                  <c:v>43295000</c:v>
                </c:pt>
                <c:pt idx="1">
                  <c:v>49700000</c:v>
                </c:pt>
                <c:pt idx="2">
                  <c:v>53305000</c:v>
                </c:pt>
              </c:numCache>
            </c:numRef>
          </c:val>
        </c:ser>
        <c:ser>
          <c:idx val="1"/>
          <c:order val="1"/>
          <c:tx>
            <c:strRef>
              <c:f>"After OPEX"</c:f>
              <c:strCache>
                <c:ptCount val="1"/>
                <c:pt idx="0">
                  <c:v>After OPEX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Forecast!$E$4:$G$4</c:f>
              <c:multiLvlStrCache>
                <c:ptCount val="1"/>
                <c:lvl>
                  <c:pt idx="0">
                    <c:v>Bull ($)</c:v>
                  </c:pt>
                </c:lvl>
                <c:lvl>
                  <c:pt idx="0">
                    <c:v>Base ($)</c:v>
                  </c:pt>
                </c:lvl>
                <c:lvl>
                  <c:pt idx="0">
                    <c:v>Bear ($)</c:v>
                  </c:pt>
                </c:lvl>
              </c:multiLvlStrCache>
            </c:multiLvlStrRef>
          </c:cat>
          <c:val>
            <c:numRef>
              <c:f>Forecast!$E$19:$G$19</c:f>
              <c:numCache>
                <c:formatCode>\$#,##0;"($"#,##0\);\-</c:formatCode>
                <c:ptCount val="3"/>
                <c:pt idx="0">
                  <c:v>30499000</c:v>
                </c:pt>
                <c:pt idx="1">
                  <c:v>36904000</c:v>
                </c:pt>
                <c:pt idx="2">
                  <c:v>40509000</c:v>
                </c:pt>
              </c:numCache>
            </c:numRef>
          </c:val>
        </c:ser>
        <c:gapWidth val="150"/>
        <c:overlap val="0"/>
        <c:axId val="4001393"/>
        <c:axId val="78812403"/>
      </c:barChart>
      <c:catAx>
        <c:axId val="40013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12403"/>
        <c:crosses val="autoZero"/>
        <c:auto val="1"/>
        <c:lblAlgn val="ctr"/>
        <c:lblOffset val="100"/>
        <c:noMultiLvlLbl val="0"/>
      </c:catAx>
      <c:valAx>
        <c:axId val="78812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13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16</xdr:col>
      <xdr:colOff>492120</xdr:colOff>
      <xdr:row>17</xdr:row>
      <xdr:rowOff>70560</xdr:rowOff>
    </xdr:to>
    <xdr:graphicFrame>
      <xdr:nvGraphicFramePr>
        <xdr:cNvPr id="0" name="Chart 1"/>
        <xdr:cNvGraphicFramePr/>
      </xdr:nvGraphicFramePr>
      <xdr:xfrm>
        <a:off x="803520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5"/>
    </row>
    <row r="9" customFormat="false" ht="15" hidden="false" customHeight="false" outlineLevel="0" collapsed="false">
      <c r="B9" s="6" t="s">
        <v>6</v>
      </c>
    </row>
    <row r="10" customFormat="false" ht="23.8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5"/>
    </row>
    <row r="14" customFormat="false" ht="15" hidden="false" customHeight="false" outlineLevel="0" collapsed="false">
      <c r="B14" s="6" t="s">
        <v>10</v>
      </c>
    </row>
    <row r="15" customFormat="false" ht="23.8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23.8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5"/>
    </row>
    <row r="21" customFormat="false" ht="15" hidden="false" customHeight="false" outlineLevel="0" collapsed="false">
      <c r="B21" s="6" t="s">
        <v>16</v>
      </c>
    </row>
    <row r="22" customFormat="false" ht="23.85" hidden="false" customHeight="false" outlineLevel="0" collapsed="false">
      <c r="B22" s="4" t="s">
        <v>17</v>
      </c>
    </row>
    <row r="23" customFormat="false" ht="23.85" hidden="false" customHeight="false" outlineLevel="0" collapsed="false">
      <c r="B23" s="4" t="s">
        <v>18</v>
      </c>
    </row>
    <row r="24" customFormat="false" ht="23.85" hidden="false" customHeight="false" outlineLevel="0" collapsed="false">
      <c r="B24" s="4" t="s">
        <v>19</v>
      </c>
    </row>
    <row r="25" customFormat="false" ht="23.85" hidden="false" customHeight="false" outlineLevel="0" collapsed="false">
      <c r="B25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7" min="5" style="0" width="16"/>
    <col collapsed="false" customWidth="true" hidden="false" outlineLevel="0" max="8" min="8" style="0" width="4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23.85" hidden="false" customHeight="false" outlineLevel="0" collapsed="false">
      <c r="A4" s="7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</row>
    <row r="5" customFormat="false" ht="15" hidden="false" customHeight="false" outlineLevel="0" collapsed="false">
      <c r="A5" s="8" t="n">
        <f aca="false">Inputs!A5</f>
        <v>1</v>
      </c>
      <c r="B5" s="8" t="str">
        <f aca="false">Inputs!B5</f>
        <v>MR #1 (50k dwt, ~5 yrs)</v>
      </c>
      <c r="C5" s="9" t="s">
        <v>30</v>
      </c>
      <c r="D5" s="10" t="n">
        <f aca="false">Inputs!$D$17</f>
        <v>350</v>
      </c>
      <c r="E5" s="11" t="n">
        <f aca="false">Inputs!F5*$D5*(1-Inputs!$D$18)</f>
        <v>10500000</v>
      </c>
      <c r="F5" s="11" t="n">
        <f aca="false">Inputs!G5*$D5*(1-Inputs!$D$18)</f>
        <v>10500000</v>
      </c>
      <c r="G5" s="11" t="n">
        <f aca="false">Inputs!H5*$D5*(1-Inputs!$D$18)</f>
        <v>10500000</v>
      </c>
    </row>
    <row r="6" customFormat="false" ht="15" hidden="false" customHeight="false" outlineLevel="0" collapsed="false">
      <c r="A6" s="8" t="n">
        <f aca="false">Inputs!A6</f>
        <v>2</v>
      </c>
      <c r="B6" s="8" t="str">
        <f aca="false">Inputs!B6</f>
        <v>MR #2 (50k dwt, ~5 yrs)</v>
      </c>
      <c r="C6" s="9" t="s">
        <v>31</v>
      </c>
      <c r="D6" s="10" t="n">
        <f aca="false">Inputs!$D$17</f>
        <v>350</v>
      </c>
      <c r="E6" s="11" t="n">
        <f aca="false">Inputs!F6*$D6*(1-Inputs!$D$18)</f>
        <v>6650000</v>
      </c>
      <c r="F6" s="11" t="n">
        <f aca="false">Inputs!G6*$D6*(1-Inputs!$D$18)</f>
        <v>9450000</v>
      </c>
      <c r="G6" s="11" t="n">
        <f aca="false">Inputs!H6*$D6*(1-Inputs!$D$18)</f>
        <v>11550000</v>
      </c>
    </row>
    <row r="7" customFormat="false" ht="15" hidden="false" customHeight="false" outlineLevel="0" collapsed="false">
      <c r="A7" s="8" t="n">
        <f aca="false">Inputs!A7</f>
        <v>3</v>
      </c>
      <c r="B7" s="8" t="str">
        <f aca="false">Inputs!B7</f>
        <v>Aframax (109k dwt, 2018 Japan)</v>
      </c>
      <c r="C7" s="9" t="s">
        <v>30</v>
      </c>
      <c r="D7" s="10" t="n">
        <f aca="false">Inputs!$D$17</f>
        <v>350</v>
      </c>
      <c r="E7" s="11" t="n">
        <f aca="false">Inputs!F7*$D7*(1-Inputs!$D$18)</f>
        <v>14000000</v>
      </c>
      <c r="F7" s="11" t="n">
        <f aca="false">Inputs!G7*$D7*(1-Inputs!$D$18)</f>
        <v>14000000</v>
      </c>
      <c r="G7" s="11" t="n">
        <f aca="false">Inputs!H7*$D7*(1-Inputs!$D$18)</f>
        <v>14000000</v>
      </c>
    </row>
    <row r="8" customFormat="false" ht="15" hidden="false" customHeight="false" outlineLevel="0" collapsed="false">
      <c r="A8" s="8" t="n">
        <f aca="false">Inputs!A8</f>
        <v>4</v>
      </c>
      <c r="B8" s="8" t="str">
        <f aca="false">Inputs!B8</f>
        <v>Kamsarmax #1 (82k, 2019 Japan)</v>
      </c>
      <c r="C8" s="9" t="s">
        <v>30</v>
      </c>
      <c r="D8" s="10" t="n">
        <f aca="false">Inputs!$D$17</f>
        <v>350</v>
      </c>
      <c r="E8" s="11" t="n">
        <f aca="false">Inputs!F8*$D8*(1-Inputs!$D$18)</f>
        <v>7700000</v>
      </c>
      <c r="F8" s="11" t="n">
        <f aca="false">Inputs!G8*$D8*(1-Inputs!$D$18)</f>
        <v>7700000</v>
      </c>
      <c r="G8" s="11" t="n">
        <f aca="false">Inputs!H8*$D8*(1-Inputs!$D$18)</f>
        <v>7700000</v>
      </c>
    </row>
    <row r="9" customFormat="false" ht="15" hidden="false" customHeight="false" outlineLevel="0" collapsed="false">
      <c r="A9" s="8" t="n">
        <f aca="false">Inputs!A9</f>
        <v>5</v>
      </c>
      <c r="B9" s="8" t="str">
        <f aca="false">Inputs!B9</f>
        <v>Kamsarmax #2 (82k, 2015 Japan)</v>
      </c>
      <c r="C9" s="9" t="s">
        <v>31</v>
      </c>
      <c r="D9" s="10" t="n">
        <f aca="false">Inputs!$D$17</f>
        <v>350</v>
      </c>
      <c r="E9" s="11" t="n">
        <f aca="false">Inputs!F9*$D9*(1-Inputs!$D$18)</f>
        <v>4445000</v>
      </c>
      <c r="F9" s="11" t="n">
        <f aca="false">Inputs!G9*$D9*(1-Inputs!$D$18)</f>
        <v>8050000</v>
      </c>
      <c r="G9" s="11" t="n">
        <f aca="false">Inputs!H9*$D9*(1-Inputs!$D$18)</f>
        <v>9555000</v>
      </c>
    </row>
    <row r="10" customFormat="false" ht="15" hidden="false" customHeight="false" outlineLevel="0" collapsed="false">
      <c r="B10" s="12" t="s">
        <v>32</v>
      </c>
      <c r="C10" s="13"/>
      <c r="D10" s="13"/>
      <c r="E10" s="14" t="n">
        <f aca="false">SUM(E5:E9)</f>
        <v>43295000</v>
      </c>
      <c r="F10" s="14" t="n">
        <f aca="false">SUM(F5:F9)</f>
        <v>49700000</v>
      </c>
      <c r="G10" s="14" t="n">
        <f aca="false">SUM(G5:G9)</f>
        <v>53305000</v>
      </c>
    </row>
    <row r="11" customFormat="false" ht="15" hidden="false" customHeight="false" outlineLevel="0" collapsed="false">
      <c r="B11" s="9" t="s">
        <v>33</v>
      </c>
      <c r="E11" s="11" t="n">
        <f aca="false">SUMIF($C$5:$C$9,"Fixed TC",E5:E9)</f>
        <v>32200000</v>
      </c>
      <c r="F11" s="11" t="n">
        <f aca="false">SUMIF($C$5:$C$9,"Fixed TC",F5:F9)</f>
        <v>32200000</v>
      </c>
      <c r="G11" s="11" t="n">
        <f aca="false">SUMIF($C$5:$C$9,"Fixed TC",G5:G9)</f>
        <v>32200000</v>
      </c>
    </row>
    <row r="12" customFormat="false" ht="15" hidden="false" customHeight="false" outlineLevel="0" collapsed="false">
      <c r="B12" s="9" t="s">
        <v>34</v>
      </c>
      <c r="E12" s="11" t="n">
        <f aca="false">SUMIF($C$5:$C$9,"Spot",E5:E9)</f>
        <v>11095000</v>
      </c>
      <c r="F12" s="11" t="n">
        <f aca="false">SUMIF($C$5:$C$9,"Spot",F5:F9)</f>
        <v>17500000</v>
      </c>
      <c r="G12" s="11" t="n">
        <f aca="false">SUMIF($C$5:$C$9,"Spot",G5:G9)</f>
        <v>21105000</v>
      </c>
    </row>
    <row r="13" customFormat="false" ht="15" hidden="false" customHeight="false" outlineLevel="0" collapsed="false">
      <c r="B13" s="9" t="s">
        <v>35</v>
      </c>
      <c r="E13" s="15" t="n">
        <f aca="false">IF(E10=0,0,E11/E10)</f>
        <v>0.74373484236055</v>
      </c>
      <c r="F13" s="15" t="n">
        <f aca="false">IF(F10=0,0,F11/F10)</f>
        <v>0.647887323943662</v>
      </c>
      <c r="G13" s="15" t="n">
        <f aca="false">IF(G10=0,0,G11/G10)</f>
        <v>0.604070912672357</v>
      </c>
    </row>
    <row r="14" customFormat="false" ht="15" hidden="false" customHeight="false" outlineLevel="0" collapsed="false">
      <c r="B14" s="16" t="s">
        <v>36</v>
      </c>
      <c r="E14" s="17" t="n">
        <f aca="false">E10/Inputs!$D$14</f>
        <v>0.17318</v>
      </c>
      <c r="F14" s="17" t="n">
        <f aca="false">F10/Inputs!$D$14</f>
        <v>0.1988</v>
      </c>
      <c r="G14" s="17" t="n">
        <f aca="false">G10/Inputs!$D$14</f>
        <v>0.21322</v>
      </c>
    </row>
    <row r="15" customFormat="false" ht="15" hidden="false" customHeight="false" outlineLevel="0" collapsed="false">
      <c r="B15" s="9" t="s">
        <v>37</v>
      </c>
      <c r="E15" s="11" t="n">
        <f aca="false">E10/Inputs!$D$17</f>
        <v>123700</v>
      </c>
      <c r="F15" s="11" t="n">
        <f aca="false">F10/Inputs!$D$17</f>
        <v>142000</v>
      </c>
      <c r="G15" s="11" t="n">
        <f aca="false">G10/Inputs!$D$17</f>
        <v>152300</v>
      </c>
    </row>
    <row r="17" customFormat="false" ht="15" hidden="false" customHeight="false" outlineLevel="0" collapsed="false">
      <c r="B17" s="16" t="s">
        <v>38</v>
      </c>
    </row>
    <row r="18" customFormat="false" ht="15" hidden="false" customHeight="false" outlineLevel="0" collapsed="false">
      <c r="B18" s="9" t="s">
        <v>39</v>
      </c>
      <c r="E18" s="11" t="n">
        <f aca="false">Inputs!$D$19*Inputs!$D$17</f>
        <v>12796000</v>
      </c>
      <c r="F18" s="11" t="n">
        <f aca="false">Inputs!$D$19*Inputs!$D$17</f>
        <v>12796000</v>
      </c>
      <c r="G18" s="11" t="n">
        <f aca="false">Inputs!$D$19*Inputs!$D$17</f>
        <v>12796000</v>
      </c>
    </row>
    <row r="19" customFormat="false" ht="15" hidden="false" customHeight="false" outlineLevel="0" collapsed="false">
      <c r="B19" s="9" t="s">
        <v>40</v>
      </c>
      <c r="E19" s="11" t="n">
        <f aca="false">E10-E18</f>
        <v>30499000</v>
      </c>
      <c r="F19" s="11" t="n">
        <f aca="false">F10-F18</f>
        <v>36904000</v>
      </c>
      <c r="G19" s="11" t="n">
        <f aca="false">G10-G18</f>
        <v>40509000</v>
      </c>
    </row>
    <row r="20" customFormat="false" ht="15" hidden="false" customHeight="false" outlineLevel="0" collapsed="false">
      <c r="B20" s="9" t="s">
        <v>41</v>
      </c>
      <c r="E20" s="15" t="n">
        <f aca="false">E19/Inputs!$D$14</f>
        <v>0.121996</v>
      </c>
      <c r="F20" s="15" t="n">
        <f aca="false">F19/Inputs!$D$14</f>
        <v>0.147616</v>
      </c>
      <c r="G20" s="15" t="n">
        <f aca="false">G19/Inputs!$D$14</f>
        <v>0.162036</v>
      </c>
    </row>
    <row r="22" customFormat="false" ht="15" hidden="false" customHeight="false" outlineLevel="0" collapsed="false">
      <c r="B22" s="18" t="s">
        <v>42</v>
      </c>
    </row>
    <row r="23" customFormat="false" ht="15" hidden="false" customHeight="false" outlineLevel="0" collapsed="false">
      <c r="B23" s="9" t="s">
        <v>43</v>
      </c>
      <c r="E23" s="19" t="n">
        <f aca="false">Inputs!D21</f>
        <v>0.3</v>
      </c>
      <c r="F23" s="19" t="n">
        <f aca="false">Inputs!D22</f>
        <v>0.5</v>
      </c>
      <c r="G23" s="19" t="n">
        <f aca="false">Inputs!D23</f>
        <v>0.2</v>
      </c>
    </row>
    <row r="24" customFormat="false" ht="15" hidden="false" customHeight="false" outlineLevel="0" collapsed="false">
      <c r="B24" s="20" t="s">
        <v>44</v>
      </c>
      <c r="G24" s="21" t="n">
        <f aca="false">SUMPRODUCT(E10:G10,E23:G23)</f>
        <v>48499500</v>
      </c>
    </row>
    <row r="25" customFormat="false" ht="15" hidden="false" customHeight="false" outlineLevel="0" collapsed="false">
      <c r="B25" s="20" t="s">
        <v>45</v>
      </c>
      <c r="G25" s="22" t="n">
        <f aca="false">G24/Inputs!D14</f>
        <v>0.193998</v>
      </c>
    </row>
    <row r="26" customFormat="false" ht="15" hidden="false" customHeight="false" outlineLevel="0" collapsed="false">
      <c r="B26" s="9" t="s">
        <v>46</v>
      </c>
      <c r="G26" s="11" t="n">
        <f aca="false">G24-E18</f>
        <v>35703500</v>
      </c>
    </row>
    <row r="27" customFormat="false" ht="15" hidden="false" customHeight="false" outlineLevel="0" collapsed="false">
      <c r="B27" s="9" t="s">
        <v>47</v>
      </c>
      <c r="G27" s="15" t="n">
        <f aca="false">E10/F10-1</f>
        <v>-0.12887323943662</v>
      </c>
    </row>
    <row r="29" customFormat="false" ht="15" hidden="false" customHeight="false" outlineLevel="0" collapsed="false">
      <c r="B29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8" min="6" style="0" width="13"/>
    <col collapsed="false" customWidth="true" hidden="false" outlineLevel="0" max="9" min="9" style="0" width="62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23.85" hidden="false" customHeight="false" outlineLevel="0" collapsed="false">
      <c r="A4" s="7" t="s">
        <v>23</v>
      </c>
      <c r="B4" s="7" t="s">
        <v>24</v>
      </c>
      <c r="C4" s="7" t="s">
        <v>51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  <c r="I4" s="7" t="s">
        <v>57</v>
      </c>
    </row>
    <row r="5" customFormat="false" ht="39.75" hidden="false" customHeight="true" outlineLevel="0" collapsed="false">
      <c r="A5" s="9" t="n">
        <v>1</v>
      </c>
      <c r="B5" s="16" t="s">
        <v>58</v>
      </c>
      <c r="C5" s="9" t="s">
        <v>59</v>
      </c>
      <c r="D5" s="23" t="n">
        <v>50000000</v>
      </c>
      <c r="E5" s="9" t="s">
        <v>60</v>
      </c>
      <c r="F5" s="23" t="n">
        <v>30000</v>
      </c>
      <c r="G5" s="23" t="n">
        <v>30000</v>
      </c>
      <c r="H5" s="23" t="n">
        <v>30000</v>
      </c>
      <c r="I5" s="24" t="s">
        <v>61</v>
      </c>
    </row>
    <row r="6" customFormat="false" ht="39.75" hidden="false" customHeight="true" outlineLevel="0" collapsed="false">
      <c r="A6" s="9" t="n">
        <v>2</v>
      </c>
      <c r="B6" s="16" t="s">
        <v>62</v>
      </c>
      <c r="C6" s="9" t="s">
        <v>59</v>
      </c>
      <c r="D6" s="23" t="n">
        <v>50000000</v>
      </c>
      <c r="E6" s="9" t="s">
        <v>63</v>
      </c>
      <c r="F6" s="25" t="n">
        <v>19000</v>
      </c>
      <c r="G6" s="25" t="n">
        <v>27000</v>
      </c>
      <c r="H6" s="25" t="n">
        <v>33000</v>
      </c>
      <c r="I6" s="24" t="s">
        <v>64</v>
      </c>
    </row>
    <row r="7" customFormat="false" ht="39.75" hidden="false" customHeight="true" outlineLevel="0" collapsed="false">
      <c r="A7" s="9" t="n">
        <v>3</v>
      </c>
      <c r="B7" s="16" t="s">
        <v>65</v>
      </c>
      <c r="C7" s="9" t="s">
        <v>66</v>
      </c>
      <c r="D7" s="23" t="n">
        <v>75000000</v>
      </c>
      <c r="E7" s="9" t="s">
        <v>67</v>
      </c>
      <c r="F7" s="23" t="n">
        <v>40000</v>
      </c>
      <c r="G7" s="23" t="n">
        <v>40000</v>
      </c>
      <c r="H7" s="23" t="n">
        <v>40000</v>
      </c>
      <c r="I7" s="24" t="s">
        <v>68</v>
      </c>
    </row>
    <row r="8" customFormat="false" ht="39.75" hidden="false" customHeight="true" outlineLevel="0" collapsed="false">
      <c r="A8" s="9" t="n">
        <v>4</v>
      </c>
      <c r="B8" s="16" t="s">
        <v>69</v>
      </c>
      <c r="C8" s="9" t="s">
        <v>70</v>
      </c>
      <c r="D8" s="23" t="n">
        <v>38000000</v>
      </c>
      <c r="E8" s="9" t="s">
        <v>71</v>
      </c>
      <c r="F8" s="23" t="n">
        <v>22000</v>
      </c>
      <c r="G8" s="23" t="n">
        <v>22000</v>
      </c>
      <c r="H8" s="23" t="n">
        <v>22000</v>
      </c>
      <c r="I8" s="24" t="s">
        <v>72</v>
      </c>
    </row>
    <row r="9" customFormat="false" ht="39.75" hidden="false" customHeight="true" outlineLevel="0" collapsed="false">
      <c r="A9" s="9" t="n">
        <v>5</v>
      </c>
      <c r="B9" s="16" t="s">
        <v>73</v>
      </c>
      <c r="C9" s="9" t="s">
        <v>70</v>
      </c>
      <c r="D9" s="23" t="n">
        <v>32000000</v>
      </c>
      <c r="E9" s="9" t="s">
        <v>74</v>
      </c>
      <c r="F9" s="25" t="n">
        <v>12700</v>
      </c>
      <c r="G9" s="25" t="n">
        <v>23000</v>
      </c>
      <c r="H9" s="25" t="n">
        <v>27300</v>
      </c>
      <c r="I9" s="24" t="s">
        <v>75</v>
      </c>
    </row>
    <row r="10" customFormat="false" ht="15" hidden="false" customHeight="false" outlineLevel="0" collapsed="false">
      <c r="B10" s="12" t="s">
        <v>76</v>
      </c>
      <c r="D10" s="14" t="n">
        <f aca="false">SUM(D5:D9)</f>
        <v>245000000</v>
      </c>
      <c r="F10" s="14" t="n">
        <f aca="false">SUM(F5:F9)</f>
        <v>123700</v>
      </c>
      <c r="G10" s="14" t="n">
        <f aca="false">SUM(G5:G9)</f>
        <v>142000</v>
      </c>
      <c r="H10" s="14" t="n">
        <f aca="false">SUM(H5:H9)</f>
        <v>152300</v>
      </c>
    </row>
    <row r="11" customFormat="false" ht="15" hidden="false" customHeight="false" outlineLevel="0" collapsed="false">
      <c r="B11" s="9" t="s">
        <v>77</v>
      </c>
      <c r="D11" s="11" t="n">
        <f aca="false">D14-D10</f>
        <v>5000000</v>
      </c>
      <c r="I11" s="9" t="s">
        <v>78</v>
      </c>
    </row>
    <row r="13" customFormat="false" ht="15" hidden="false" customHeight="false" outlineLevel="0" collapsed="false">
      <c r="B13" s="18" t="s">
        <v>79</v>
      </c>
    </row>
    <row r="14" customFormat="false" ht="15" hidden="false" customHeight="false" outlineLevel="0" collapsed="false">
      <c r="B14" s="9" t="s">
        <v>80</v>
      </c>
      <c r="D14" s="23" t="n">
        <v>250000000</v>
      </c>
      <c r="E14" s="26" t="s">
        <v>81</v>
      </c>
      <c r="F14" s="26"/>
      <c r="G14" s="26"/>
      <c r="H14" s="26"/>
      <c r="I14" s="26"/>
    </row>
    <row r="15" customFormat="false" ht="15" hidden="false" customHeight="false" outlineLevel="0" collapsed="false">
      <c r="B15" s="9" t="s">
        <v>82</v>
      </c>
      <c r="D15" s="27" t="n">
        <v>365</v>
      </c>
      <c r="E15" s="26" t="s">
        <v>83</v>
      </c>
      <c r="F15" s="26"/>
      <c r="G15" s="26"/>
      <c r="H15" s="26"/>
      <c r="I15" s="26"/>
    </row>
    <row r="16" customFormat="false" ht="15" hidden="false" customHeight="false" outlineLevel="0" collapsed="false">
      <c r="B16" s="9" t="s">
        <v>84</v>
      </c>
      <c r="D16" s="28" t="n">
        <v>15</v>
      </c>
      <c r="E16" s="26" t="s">
        <v>85</v>
      </c>
      <c r="F16" s="26"/>
      <c r="G16" s="26"/>
      <c r="H16" s="26"/>
      <c r="I16" s="26"/>
    </row>
    <row r="17" customFormat="false" ht="15" hidden="false" customHeight="false" outlineLevel="0" collapsed="false">
      <c r="B17" s="9" t="s">
        <v>86</v>
      </c>
      <c r="D17" s="29" t="n">
        <f aca="false">D15-D16</f>
        <v>350</v>
      </c>
      <c r="E17" s="26" t="s">
        <v>87</v>
      </c>
      <c r="F17" s="26"/>
      <c r="G17" s="26"/>
      <c r="H17" s="26"/>
      <c r="I17" s="26"/>
    </row>
    <row r="18" customFormat="false" ht="15" hidden="false" customHeight="false" outlineLevel="0" collapsed="false">
      <c r="B18" s="9" t="s">
        <v>88</v>
      </c>
      <c r="D18" s="30" t="n">
        <v>0</v>
      </c>
      <c r="E18" s="26" t="s">
        <v>89</v>
      </c>
      <c r="F18" s="26"/>
      <c r="G18" s="26"/>
      <c r="H18" s="26"/>
      <c r="I18" s="26"/>
    </row>
    <row r="19" customFormat="false" ht="15" hidden="false" customHeight="false" outlineLevel="0" collapsed="false">
      <c r="B19" s="9" t="s">
        <v>90</v>
      </c>
      <c r="D19" s="23" t="n">
        <v>36560</v>
      </c>
      <c r="E19" s="26" t="s">
        <v>91</v>
      </c>
      <c r="F19" s="26"/>
      <c r="G19" s="26"/>
      <c r="H19" s="26"/>
      <c r="I19" s="26"/>
    </row>
    <row r="21" customFormat="false" ht="15" hidden="false" customHeight="false" outlineLevel="0" collapsed="false">
      <c r="B21" s="9" t="s">
        <v>92</v>
      </c>
      <c r="D21" s="30" t="n">
        <v>0.3</v>
      </c>
      <c r="E21" s="26" t="s">
        <v>93</v>
      </c>
      <c r="F21" s="26"/>
      <c r="G21" s="26"/>
      <c r="H21" s="26"/>
      <c r="I21" s="26"/>
    </row>
    <row r="22" customFormat="false" ht="15" hidden="false" customHeight="false" outlineLevel="0" collapsed="false">
      <c r="B22" s="9" t="s">
        <v>94</v>
      </c>
      <c r="D22" s="30" t="n">
        <v>0.5</v>
      </c>
      <c r="E22" s="26" t="s">
        <v>95</v>
      </c>
      <c r="F22" s="26"/>
      <c r="G22" s="26"/>
      <c r="H22" s="26"/>
      <c r="I22" s="26"/>
    </row>
    <row r="23" customFormat="false" ht="15" hidden="false" customHeight="false" outlineLevel="0" collapsed="false">
      <c r="B23" s="9" t="s">
        <v>96</v>
      </c>
      <c r="D23" s="30" t="n">
        <v>0.2</v>
      </c>
      <c r="E23" s="26" t="s">
        <v>97</v>
      </c>
      <c r="F23" s="26"/>
      <c r="G23" s="26"/>
      <c r="H23" s="26"/>
      <c r="I23" s="26"/>
    </row>
    <row r="24" customFormat="false" ht="15" hidden="false" customHeight="false" outlineLevel="0" collapsed="false">
      <c r="B24" s="9" t="s">
        <v>98</v>
      </c>
      <c r="D24" s="9" t="str">
        <f aca="false">IF(ROUND(SUM(D21:D23),6)=1,"OK","ERROR – weights ≠ 100%")</f>
        <v>OK</v>
      </c>
      <c r="E24" s="26"/>
      <c r="F24" s="26"/>
      <c r="G24" s="26"/>
      <c r="H24" s="26"/>
      <c r="I24" s="26"/>
    </row>
    <row r="26" customFormat="false" ht="15" hidden="false" customHeight="false" outlineLevel="0" collapsed="false">
      <c r="B26" s="9" t="s">
        <v>99</v>
      </c>
      <c r="D26" s="28" t="n">
        <v>2</v>
      </c>
      <c r="E26" s="26" t="s">
        <v>100</v>
      </c>
      <c r="F26" s="26"/>
      <c r="G26" s="26"/>
      <c r="H26" s="26"/>
      <c r="I26" s="26"/>
    </row>
  </sheetData>
  <mergeCells count="11">
    <mergeCell ref="E14:I14"/>
    <mergeCell ref="E15:I15"/>
    <mergeCell ref="E16:I16"/>
    <mergeCell ref="E17:I17"/>
    <mergeCell ref="E18:I18"/>
    <mergeCell ref="E19:I19"/>
    <mergeCell ref="E21:I21"/>
    <mergeCell ref="E22:I22"/>
    <mergeCell ref="E23:I23"/>
    <mergeCell ref="E24:I24"/>
    <mergeCell ref="E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14" min="3" style="0" width="12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3" customFormat="false" ht="15" hidden="false" customHeight="false" outlineLevel="0" collapsed="false">
      <c r="A3" s="16" t="s">
        <v>103</v>
      </c>
      <c r="B3" s="20" t="str">
        <f aca="false">CHOOSE(Inputs!D26,"Bear","Base","Bull")</f>
        <v>Base</v>
      </c>
    </row>
    <row r="5" customFormat="false" ht="15" hidden="false" customHeight="false" outlineLevel="0" collapsed="false">
      <c r="A5" s="7" t="s">
        <v>24</v>
      </c>
      <c r="B5" s="7" t="s">
        <v>104</v>
      </c>
      <c r="C5" s="7" t="s">
        <v>105</v>
      </c>
      <c r="D5" s="7" t="s">
        <v>106</v>
      </c>
      <c r="E5" s="7" t="s">
        <v>107</v>
      </c>
      <c r="F5" s="7" t="s">
        <v>108</v>
      </c>
      <c r="G5" s="7" t="s">
        <v>109</v>
      </c>
      <c r="H5" s="7" t="s">
        <v>110</v>
      </c>
      <c r="I5" s="7" t="s">
        <v>111</v>
      </c>
      <c r="J5" s="7" t="s">
        <v>112</v>
      </c>
      <c r="K5" s="7" t="s">
        <v>113</v>
      </c>
      <c r="L5" s="7" t="s">
        <v>114</v>
      </c>
      <c r="M5" s="7" t="s">
        <v>115</v>
      </c>
      <c r="N5" s="7" t="s">
        <v>116</v>
      </c>
      <c r="O5" s="7" t="s">
        <v>117</v>
      </c>
    </row>
    <row r="6" customFormat="false" ht="15" hidden="false" customHeight="false" outlineLevel="0" collapsed="false">
      <c r="A6" s="16" t="s">
        <v>118</v>
      </c>
      <c r="C6" s="27" t="n">
        <v>31</v>
      </c>
      <c r="D6" s="27" t="n">
        <v>30</v>
      </c>
      <c r="E6" s="27" t="n">
        <v>31</v>
      </c>
      <c r="F6" s="27" t="n">
        <v>31</v>
      </c>
      <c r="G6" s="27" t="n">
        <v>28</v>
      </c>
      <c r="H6" s="27" t="n">
        <v>31</v>
      </c>
      <c r="I6" s="27" t="n">
        <v>30</v>
      </c>
      <c r="J6" s="27" t="n">
        <v>31</v>
      </c>
      <c r="K6" s="27" t="n">
        <v>30</v>
      </c>
      <c r="L6" s="27" t="n">
        <v>31</v>
      </c>
      <c r="M6" s="27" t="n">
        <v>31</v>
      </c>
      <c r="N6" s="27" t="n">
        <v>30</v>
      </c>
      <c r="O6" s="29" t="n">
        <f aca="false">SUM(C6:N6)</f>
        <v>365</v>
      </c>
    </row>
    <row r="7" customFormat="false" ht="15" hidden="false" customHeight="false" outlineLevel="0" collapsed="false">
      <c r="A7" s="8" t="str">
        <f aca="false">Inputs!B5</f>
        <v>MR #1 (50k dwt, ~5 yrs)</v>
      </c>
      <c r="B7" s="31" t="n">
        <f aca="false">CHOOSE(Inputs!$D$26,Inputs!F5,Inputs!G5,Inputs!H5)</f>
        <v>30000</v>
      </c>
      <c r="C7" s="11" t="n">
        <f aca="false">$B7*C$6*Inputs!$D$17/Inputs!$D$15*(1-Inputs!$D$18)</f>
        <v>891780.821917808</v>
      </c>
      <c r="D7" s="11" t="n">
        <f aca="false">$B7*D$6*Inputs!$D$17/Inputs!$D$15*(1-Inputs!$D$18)</f>
        <v>863013.698630137</v>
      </c>
      <c r="E7" s="11" t="n">
        <f aca="false">$B7*E$6*Inputs!$D$17/Inputs!$D$15*(1-Inputs!$D$18)</f>
        <v>891780.821917808</v>
      </c>
      <c r="F7" s="11" t="n">
        <f aca="false">$B7*F$6*Inputs!$D$17/Inputs!$D$15*(1-Inputs!$D$18)</f>
        <v>891780.821917808</v>
      </c>
      <c r="G7" s="11" t="n">
        <f aca="false">$B7*G$6*Inputs!$D$17/Inputs!$D$15*(1-Inputs!$D$18)</f>
        <v>805479.452054795</v>
      </c>
      <c r="H7" s="11" t="n">
        <f aca="false">$B7*H$6*Inputs!$D$17/Inputs!$D$15*(1-Inputs!$D$18)</f>
        <v>891780.821917808</v>
      </c>
      <c r="I7" s="11" t="n">
        <f aca="false">$B7*I$6*Inputs!$D$17/Inputs!$D$15*(1-Inputs!$D$18)</f>
        <v>863013.698630137</v>
      </c>
      <c r="J7" s="11" t="n">
        <f aca="false">$B7*J$6*Inputs!$D$17/Inputs!$D$15*(1-Inputs!$D$18)</f>
        <v>891780.821917808</v>
      </c>
      <c r="K7" s="11" t="n">
        <f aca="false">$B7*K$6*Inputs!$D$17/Inputs!$D$15*(1-Inputs!$D$18)</f>
        <v>863013.698630137</v>
      </c>
      <c r="L7" s="11" t="n">
        <f aca="false">$B7*L$6*Inputs!$D$17/Inputs!$D$15*(1-Inputs!$D$18)</f>
        <v>891780.821917808</v>
      </c>
      <c r="M7" s="11" t="n">
        <f aca="false">$B7*M$6*Inputs!$D$17/Inputs!$D$15*(1-Inputs!$D$18)</f>
        <v>891780.821917808</v>
      </c>
      <c r="N7" s="11" t="n">
        <f aca="false">$B7*N$6*Inputs!$D$17/Inputs!$D$15*(1-Inputs!$D$18)</f>
        <v>863013.698630137</v>
      </c>
      <c r="O7" s="32" t="n">
        <f aca="false">SUM(C7:N7)</f>
        <v>10500000</v>
      </c>
    </row>
    <row r="8" customFormat="false" ht="15" hidden="false" customHeight="false" outlineLevel="0" collapsed="false">
      <c r="A8" s="8" t="str">
        <f aca="false">Inputs!B6</f>
        <v>MR #2 (50k dwt, ~5 yrs)</v>
      </c>
      <c r="B8" s="31" t="n">
        <f aca="false">CHOOSE(Inputs!$D$26,Inputs!F6,Inputs!G6,Inputs!H6)</f>
        <v>27000</v>
      </c>
      <c r="C8" s="11" t="n">
        <f aca="false">$B8*C$6*Inputs!$D$17/Inputs!$D$15*(1-Inputs!$D$18)</f>
        <v>802602.739726027</v>
      </c>
      <c r="D8" s="11" t="n">
        <f aca="false">$B8*D$6*Inputs!$D$17/Inputs!$D$15*(1-Inputs!$D$18)</f>
        <v>776712.328767123</v>
      </c>
      <c r="E8" s="11" t="n">
        <f aca="false">$B8*E$6*Inputs!$D$17/Inputs!$D$15*(1-Inputs!$D$18)</f>
        <v>802602.739726027</v>
      </c>
      <c r="F8" s="11" t="n">
        <f aca="false">$B8*F$6*Inputs!$D$17/Inputs!$D$15*(1-Inputs!$D$18)</f>
        <v>802602.739726027</v>
      </c>
      <c r="G8" s="11" t="n">
        <f aca="false">$B8*G$6*Inputs!$D$17/Inputs!$D$15*(1-Inputs!$D$18)</f>
        <v>724931.506849315</v>
      </c>
      <c r="H8" s="11" t="n">
        <f aca="false">$B8*H$6*Inputs!$D$17/Inputs!$D$15*(1-Inputs!$D$18)</f>
        <v>802602.739726027</v>
      </c>
      <c r="I8" s="11" t="n">
        <f aca="false">$B8*I$6*Inputs!$D$17/Inputs!$D$15*(1-Inputs!$D$18)</f>
        <v>776712.328767123</v>
      </c>
      <c r="J8" s="11" t="n">
        <f aca="false">$B8*J$6*Inputs!$D$17/Inputs!$D$15*(1-Inputs!$D$18)</f>
        <v>802602.739726027</v>
      </c>
      <c r="K8" s="11" t="n">
        <f aca="false">$B8*K$6*Inputs!$D$17/Inputs!$D$15*(1-Inputs!$D$18)</f>
        <v>776712.328767123</v>
      </c>
      <c r="L8" s="11" t="n">
        <f aca="false">$B8*L$6*Inputs!$D$17/Inputs!$D$15*(1-Inputs!$D$18)</f>
        <v>802602.739726027</v>
      </c>
      <c r="M8" s="11" t="n">
        <f aca="false">$B8*M$6*Inputs!$D$17/Inputs!$D$15*(1-Inputs!$D$18)</f>
        <v>802602.739726027</v>
      </c>
      <c r="N8" s="11" t="n">
        <f aca="false">$B8*N$6*Inputs!$D$17/Inputs!$D$15*(1-Inputs!$D$18)</f>
        <v>776712.328767123</v>
      </c>
      <c r="O8" s="32" t="n">
        <f aca="false">SUM(C8:N8)</f>
        <v>9450000</v>
      </c>
    </row>
    <row r="9" customFormat="false" ht="15" hidden="false" customHeight="false" outlineLevel="0" collapsed="false">
      <c r="A9" s="8" t="str">
        <f aca="false">Inputs!B7</f>
        <v>Aframax (109k dwt, 2018 Japan)</v>
      </c>
      <c r="B9" s="31" t="n">
        <f aca="false">CHOOSE(Inputs!$D$26,Inputs!F7,Inputs!G7,Inputs!H7)</f>
        <v>40000</v>
      </c>
      <c r="C9" s="11" t="n">
        <f aca="false">$B9*C$6*Inputs!$D$17/Inputs!$D$15*(1-Inputs!$D$18)</f>
        <v>1189041.09589041</v>
      </c>
      <c r="D9" s="11" t="n">
        <f aca="false">$B9*D$6*Inputs!$D$17/Inputs!$D$15*(1-Inputs!$D$18)</f>
        <v>1150684.93150685</v>
      </c>
      <c r="E9" s="11" t="n">
        <f aca="false">$B9*E$6*Inputs!$D$17/Inputs!$D$15*(1-Inputs!$D$18)</f>
        <v>1189041.09589041</v>
      </c>
      <c r="F9" s="11" t="n">
        <f aca="false">$B9*F$6*Inputs!$D$17/Inputs!$D$15*(1-Inputs!$D$18)</f>
        <v>1189041.09589041</v>
      </c>
      <c r="G9" s="11" t="n">
        <f aca="false">$B9*G$6*Inputs!$D$17/Inputs!$D$15*(1-Inputs!$D$18)</f>
        <v>1073972.60273973</v>
      </c>
      <c r="H9" s="11" t="n">
        <f aca="false">$B9*H$6*Inputs!$D$17/Inputs!$D$15*(1-Inputs!$D$18)</f>
        <v>1189041.09589041</v>
      </c>
      <c r="I9" s="11" t="n">
        <f aca="false">$B9*I$6*Inputs!$D$17/Inputs!$D$15*(1-Inputs!$D$18)</f>
        <v>1150684.93150685</v>
      </c>
      <c r="J9" s="11" t="n">
        <f aca="false">$B9*J$6*Inputs!$D$17/Inputs!$D$15*(1-Inputs!$D$18)</f>
        <v>1189041.09589041</v>
      </c>
      <c r="K9" s="11" t="n">
        <f aca="false">$B9*K$6*Inputs!$D$17/Inputs!$D$15*(1-Inputs!$D$18)</f>
        <v>1150684.93150685</v>
      </c>
      <c r="L9" s="11" t="n">
        <f aca="false">$B9*L$6*Inputs!$D$17/Inputs!$D$15*(1-Inputs!$D$18)</f>
        <v>1189041.09589041</v>
      </c>
      <c r="M9" s="11" t="n">
        <f aca="false">$B9*M$6*Inputs!$D$17/Inputs!$D$15*(1-Inputs!$D$18)</f>
        <v>1189041.09589041</v>
      </c>
      <c r="N9" s="11" t="n">
        <f aca="false">$B9*N$6*Inputs!$D$17/Inputs!$D$15*(1-Inputs!$D$18)</f>
        <v>1150684.93150685</v>
      </c>
      <c r="O9" s="32" t="n">
        <f aca="false">SUM(C9:N9)</f>
        <v>14000000</v>
      </c>
    </row>
    <row r="10" customFormat="false" ht="15" hidden="false" customHeight="false" outlineLevel="0" collapsed="false">
      <c r="A10" s="8" t="str">
        <f aca="false">Inputs!B8</f>
        <v>Kamsarmax #1 (82k, 2019 Japan)</v>
      </c>
      <c r="B10" s="31" t="n">
        <f aca="false">CHOOSE(Inputs!$D$26,Inputs!F8,Inputs!G8,Inputs!H8)</f>
        <v>22000</v>
      </c>
      <c r="C10" s="11" t="n">
        <f aca="false">$B10*C$6*Inputs!$D$17/Inputs!$D$15*(1-Inputs!$D$18)</f>
        <v>653972.602739726</v>
      </c>
      <c r="D10" s="11" t="n">
        <f aca="false">$B10*D$6*Inputs!$D$17/Inputs!$D$15*(1-Inputs!$D$18)</f>
        <v>632876.712328767</v>
      </c>
      <c r="E10" s="11" t="n">
        <f aca="false">$B10*E$6*Inputs!$D$17/Inputs!$D$15*(1-Inputs!$D$18)</f>
        <v>653972.602739726</v>
      </c>
      <c r="F10" s="11" t="n">
        <f aca="false">$B10*F$6*Inputs!$D$17/Inputs!$D$15*(1-Inputs!$D$18)</f>
        <v>653972.602739726</v>
      </c>
      <c r="G10" s="11" t="n">
        <f aca="false">$B10*G$6*Inputs!$D$17/Inputs!$D$15*(1-Inputs!$D$18)</f>
        <v>590684.931506849</v>
      </c>
      <c r="H10" s="11" t="n">
        <f aca="false">$B10*H$6*Inputs!$D$17/Inputs!$D$15*(1-Inputs!$D$18)</f>
        <v>653972.602739726</v>
      </c>
      <c r="I10" s="11" t="n">
        <f aca="false">$B10*I$6*Inputs!$D$17/Inputs!$D$15*(1-Inputs!$D$18)</f>
        <v>632876.712328767</v>
      </c>
      <c r="J10" s="11" t="n">
        <f aca="false">$B10*J$6*Inputs!$D$17/Inputs!$D$15*(1-Inputs!$D$18)</f>
        <v>653972.602739726</v>
      </c>
      <c r="K10" s="11" t="n">
        <f aca="false">$B10*K$6*Inputs!$D$17/Inputs!$D$15*(1-Inputs!$D$18)</f>
        <v>632876.712328767</v>
      </c>
      <c r="L10" s="11" t="n">
        <f aca="false">$B10*L$6*Inputs!$D$17/Inputs!$D$15*(1-Inputs!$D$18)</f>
        <v>653972.602739726</v>
      </c>
      <c r="M10" s="11" t="n">
        <f aca="false">$B10*M$6*Inputs!$D$17/Inputs!$D$15*(1-Inputs!$D$18)</f>
        <v>653972.602739726</v>
      </c>
      <c r="N10" s="11" t="n">
        <f aca="false">$B10*N$6*Inputs!$D$17/Inputs!$D$15*(1-Inputs!$D$18)</f>
        <v>632876.712328767</v>
      </c>
      <c r="O10" s="32" t="n">
        <f aca="false">SUM(C10:N10)</f>
        <v>7700000</v>
      </c>
    </row>
    <row r="11" customFormat="false" ht="15" hidden="false" customHeight="false" outlineLevel="0" collapsed="false">
      <c r="A11" s="8" t="str">
        <f aca="false">Inputs!B9</f>
        <v>Kamsarmax #2 (82k, 2015 Japan)</v>
      </c>
      <c r="B11" s="31" t="n">
        <f aca="false">CHOOSE(Inputs!$D$26,Inputs!F9,Inputs!G9,Inputs!H9)</f>
        <v>23000</v>
      </c>
      <c r="C11" s="11" t="n">
        <f aca="false">$B11*C$6*Inputs!$D$17/Inputs!$D$15*(1-Inputs!$D$18)</f>
        <v>683698.630136986</v>
      </c>
      <c r="D11" s="11" t="n">
        <f aca="false">$B11*D$6*Inputs!$D$17/Inputs!$D$15*(1-Inputs!$D$18)</f>
        <v>661643.835616438</v>
      </c>
      <c r="E11" s="11" t="n">
        <f aca="false">$B11*E$6*Inputs!$D$17/Inputs!$D$15*(1-Inputs!$D$18)</f>
        <v>683698.630136986</v>
      </c>
      <c r="F11" s="11" t="n">
        <f aca="false">$B11*F$6*Inputs!$D$17/Inputs!$D$15*(1-Inputs!$D$18)</f>
        <v>683698.630136986</v>
      </c>
      <c r="G11" s="11" t="n">
        <f aca="false">$B11*G$6*Inputs!$D$17/Inputs!$D$15*(1-Inputs!$D$18)</f>
        <v>617534.246575343</v>
      </c>
      <c r="H11" s="11" t="n">
        <f aca="false">$B11*H$6*Inputs!$D$17/Inputs!$D$15*(1-Inputs!$D$18)</f>
        <v>683698.630136986</v>
      </c>
      <c r="I11" s="11" t="n">
        <f aca="false">$B11*I$6*Inputs!$D$17/Inputs!$D$15*(1-Inputs!$D$18)</f>
        <v>661643.835616438</v>
      </c>
      <c r="J11" s="11" t="n">
        <f aca="false">$B11*J$6*Inputs!$D$17/Inputs!$D$15*(1-Inputs!$D$18)</f>
        <v>683698.630136986</v>
      </c>
      <c r="K11" s="11" t="n">
        <f aca="false">$B11*K$6*Inputs!$D$17/Inputs!$D$15*(1-Inputs!$D$18)</f>
        <v>661643.835616438</v>
      </c>
      <c r="L11" s="11" t="n">
        <f aca="false">$B11*L$6*Inputs!$D$17/Inputs!$D$15*(1-Inputs!$D$18)</f>
        <v>683698.630136986</v>
      </c>
      <c r="M11" s="11" t="n">
        <f aca="false">$B11*M$6*Inputs!$D$17/Inputs!$D$15*(1-Inputs!$D$18)</f>
        <v>683698.630136986</v>
      </c>
      <c r="N11" s="11" t="n">
        <f aca="false">$B11*N$6*Inputs!$D$17/Inputs!$D$15*(1-Inputs!$D$18)</f>
        <v>661643.835616438</v>
      </c>
      <c r="O11" s="32" t="n">
        <f aca="false">SUM(C11:N11)</f>
        <v>8050000</v>
      </c>
    </row>
    <row r="12" customFormat="false" ht="15" hidden="false" customHeight="false" outlineLevel="0" collapsed="false">
      <c r="A12" s="12" t="s">
        <v>76</v>
      </c>
      <c r="C12" s="14" t="n">
        <f aca="false">SUM(C7:C11)</f>
        <v>4221095.89041096</v>
      </c>
      <c r="D12" s="14" t="n">
        <f aca="false">SUM(D7:D11)</f>
        <v>4084931.50684932</v>
      </c>
      <c r="E12" s="14" t="n">
        <f aca="false">SUM(E7:E11)</f>
        <v>4221095.89041096</v>
      </c>
      <c r="F12" s="14" t="n">
        <f aca="false">SUM(F7:F11)</f>
        <v>4221095.89041096</v>
      </c>
      <c r="G12" s="14" t="n">
        <f aca="false">SUM(G7:G11)</f>
        <v>3812602.73972603</v>
      </c>
      <c r="H12" s="14" t="n">
        <f aca="false">SUM(H7:H11)</f>
        <v>4221095.89041096</v>
      </c>
      <c r="I12" s="14" t="n">
        <f aca="false">SUM(I7:I11)</f>
        <v>4084931.50684932</v>
      </c>
      <c r="J12" s="14" t="n">
        <f aca="false">SUM(J7:J11)</f>
        <v>4221095.89041096</v>
      </c>
      <c r="K12" s="14" t="n">
        <f aca="false">SUM(K7:K11)</f>
        <v>4084931.50684932</v>
      </c>
      <c r="L12" s="14" t="n">
        <f aca="false">SUM(L7:L11)</f>
        <v>4221095.89041096</v>
      </c>
      <c r="M12" s="14" t="n">
        <f aca="false">SUM(M7:M11)</f>
        <v>4221095.89041096</v>
      </c>
      <c r="N12" s="14" t="n">
        <f aca="false">SUM(N7:N11)</f>
        <v>4084931.50684932</v>
      </c>
      <c r="O12" s="14" t="n">
        <f aca="false">SUM(O7:O11)</f>
        <v>49700000</v>
      </c>
    </row>
    <row r="13" customFormat="false" ht="15" hidden="false" customHeight="false" outlineLevel="0" collapsed="false">
      <c r="A13" s="9" t="s">
        <v>119</v>
      </c>
      <c r="C13" s="11" t="n">
        <f aca="false">C7+C9+C10</f>
        <v>2734794.52054795</v>
      </c>
      <c r="D13" s="11" t="n">
        <f aca="false">D7+D9+D10</f>
        <v>2646575.34246575</v>
      </c>
      <c r="E13" s="11" t="n">
        <f aca="false">E7+E9+E10</f>
        <v>2734794.52054795</v>
      </c>
      <c r="F13" s="11" t="n">
        <f aca="false">F7+F9+F10</f>
        <v>2734794.52054795</v>
      </c>
      <c r="G13" s="11" t="n">
        <f aca="false">G7+G9+G10</f>
        <v>2470136.98630137</v>
      </c>
      <c r="H13" s="11" t="n">
        <f aca="false">H7+H9+H10</f>
        <v>2734794.52054795</v>
      </c>
      <c r="I13" s="11" t="n">
        <f aca="false">I7+I9+I10</f>
        <v>2646575.34246575</v>
      </c>
      <c r="J13" s="11" t="n">
        <f aca="false">J7+J9+J10</f>
        <v>2734794.52054795</v>
      </c>
      <c r="K13" s="11" t="n">
        <f aca="false">K7+K9+K10</f>
        <v>2646575.34246575</v>
      </c>
      <c r="L13" s="11" t="n">
        <f aca="false">L7+L9+L10</f>
        <v>2734794.52054795</v>
      </c>
      <c r="M13" s="11" t="n">
        <f aca="false">M7+M9+M10</f>
        <v>2734794.52054795</v>
      </c>
      <c r="N13" s="11" t="n">
        <f aca="false">N7+N9+N10</f>
        <v>2646575.34246575</v>
      </c>
      <c r="O13" s="32" t="n">
        <f aca="false">O7+O9+O10</f>
        <v>32200000</v>
      </c>
    </row>
    <row r="14" customFormat="false" ht="15" hidden="false" customHeight="false" outlineLevel="0" collapsed="false">
      <c r="A14" s="9" t="s">
        <v>120</v>
      </c>
      <c r="C14" s="11" t="n">
        <f aca="false">C8+C11</f>
        <v>1486301.36986301</v>
      </c>
      <c r="D14" s="11" t="n">
        <f aca="false">D8+D11</f>
        <v>1438356.16438356</v>
      </c>
      <c r="E14" s="11" t="n">
        <f aca="false">E8+E11</f>
        <v>1486301.36986301</v>
      </c>
      <c r="F14" s="11" t="n">
        <f aca="false">F8+F11</f>
        <v>1486301.36986301</v>
      </c>
      <c r="G14" s="11" t="n">
        <f aca="false">G8+G11</f>
        <v>1342465.75342466</v>
      </c>
      <c r="H14" s="11" t="n">
        <f aca="false">H8+H11</f>
        <v>1486301.36986301</v>
      </c>
      <c r="I14" s="11" t="n">
        <f aca="false">I8+I11</f>
        <v>1438356.16438356</v>
      </c>
      <c r="J14" s="11" t="n">
        <f aca="false">J8+J11</f>
        <v>1486301.36986301</v>
      </c>
      <c r="K14" s="11" t="n">
        <f aca="false">K8+K11</f>
        <v>1438356.16438356</v>
      </c>
      <c r="L14" s="11" t="n">
        <f aca="false">L8+L11</f>
        <v>1486301.36986301</v>
      </c>
      <c r="M14" s="11" t="n">
        <f aca="false">M8+M11</f>
        <v>1486301.36986301</v>
      </c>
      <c r="N14" s="11" t="n">
        <f aca="false">N8+N11</f>
        <v>1438356.16438356</v>
      </c>
      <c r="O14" s="32" t="n">
        <f aca="false">O8+O11</f>
        <v>17500000</v>
      </c>
    </row>
    <row r="15" customFormat="false" ht="15" hidden="false" customHeight="false" outlineLevel="0" collapsed="false">
      <c r="A15" s="16" t="s">
        <v>121</v>
      </c>
      <c r="C15" s="11" t="n">
        <f aca="false">C12</f>
        <v>4221095.89041096</v>
      </c>
      <c r="D15" s="11" t="n">
        <f aca="false">C15+D12</f>
        <v>8306027.39726027</v>
      </c>
      <c r="E15" s="11" t="n">
        <f aca="false">D15+E12</f>
        <v>12527123.2876712</v>
      </c>
      <c r="F15" s="11" t="n">
        <f aca="false">E15+F12</f>
        <v>16748219.1780822</v>
      </c>
      <c r="G15" s="11" t="n">
        <f aca="false">F15+G12</f>
        <v>20560821.9178082</v>
      </c>
      <c r="H15" s="11" t="n">
        <f aca="false">G15+H12</f>
        <v>24781917.8082192</v>
      </c>
      <c r="I15" s="11" t="n">
        <f aca="false">H15+I12</f>
        <v>28866849.3150685</v>
      </c>
      <c r="J15" s="11" t="n">
        <f aca="false">I15+J12</f>
        <v>33087945.2054795</v>
      </c>
      <c r="K15" s="11" t="n">
        <f aca="false">J15+K12</f>
        <v>37172876.7123288</v>
      </c>
      <c r="L15" s="11" t="n">
        <f aca="false">K15+L12</f>
        <v>41393972.6027397</v>
      </c>
      <c r="M15" s="11" t="n">
        <f aca="false">L15+M12</f>
        <v>45615068.4931507</v>
      </c>
      <c r="N15" s="11" t="n">
        <f aca="false">M15+N12</f>
        <v>49700000</v>
      </c>
    </row>
    <row r="16" customFormat="false" ht="15" hidden="false" customHeight="false" outlineLevel="0" collapsed="false">
      <c r="A16" s="9" t="s">
        <v>122</v>
      </c>
      <c r="O16" s="11" t="n">
        <f aca="false">ROUND(O12-INDEX(Forecast!E10:G10,Inputs!D26),0)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16" t="s">
        <v>125</v>
      </c>
      <c r="B4" s="31" t="n">
        <f aca="false">Forecast!F11</f>
        <v>32200000</v>
      </c>
    </row>
    <row r="6" customFormat="false" ht="15" hidden="false" customHeight="false" outlineLevel="0" collapsed="false">
      <c r="A6" s="33" t="s">
        <v>126</v>
      </c>
      <c r="B6" s="34" t="n">
        <v>10000</v>
      </c>
      <c r="C6" s="34" t="n">
        <v>13000</v>
      </c>
      <c r="D6" s="34" t="n">
        <v>16000</v>
      </c>
      <c r="E6" s="34" t="n">
        <v>19000</v>
      </c>
      <c r="F6" s="34" t="n">
        <v>23000</v>
      </c>
      <c r="G6" s="34" t="n">
        <v>27000</v>
      </c>
      <c r="H6" s="34" t="n">
        <v>31000</v>
      </c>
      <c r="I6" s="34" t="n">
        <v>35000</v>
      </c>
    </row>
    <row r="7" customFormat="false" ht="15" hidden="false" customHeight="false" outlineLevel="0" collapsed="false">
      <c r="A7" s="34" t="n">
        <v>15000</v>
      </c>
      <c r="B7" s="35" t="n">
        <f aca="false">($B$4+($A7+B$6)*Inputs!$D$17*(1-Inputs!$D$18))/1000000</f>
        <v>40.95</v>
      </c>
      <c r="C7" s="35" t="n">
        <f aca="false">($B$4+($A7+C$6)*Inputs!$D$17*(1-Inputs!$D$18))/1000000</f>
        <v>42</v>
      </c>
      <c r="D7" s="35" t="n">
        <f aca="false">($B$4+($A7+D$6)*Inputs!$D$17*(1-Inputs!$D$18))/1000000</f>
        <v>43.05</v>
      </c>
      <c r="E7" s="35" t="n">
        <f aca="false">($B$4+($A7+E$6)*Inputs!$D$17*(1-Inputs!$D$18))/1000000</f>
        <v>44.1</v>
      </c>
      <c r="F7" s="35" t="n">
        <f aca="false">($B$4+($A7+F$6)*Inputs!$D$17*(1-Inputs!$D$18))/1000000</f>
        <v>45.5</v>
      </c>
      <c r="G7" s="35" t="n">
        <f aca="false">($B$4+($A7+G$6)*Inputs!$D$17*(1-Inputs!$D$18))/1000000</f>
        <v>46.9</v>
      </c>
      <c r="H7" s="35" t="n">
        <f aca="false">($B$4+($A7+H$6)*Inputs!$D$17*(1-Inputs!$D$18))/1000000</f>
        <v>48.3</v>
      </c>
      <c r="I7" s="35" t="n">
        <f aca="false">($B$4+($A7+I$6)*Inputs!$D$17*(1-Inputs!$D$18))/1000000</f>
        <v>49.7</v>
      </c>
    </row>
    <row r="8" customFormat="false" ht="15" hidden="false" customHeight="false" outlineLevel="0" collapsed="false">
      <c r="A8" s="34" t="n">
        <v>18000</v>
      </c>
      <c r="B8" s="35" t="n">
        <f aca="false">($B$4+($A8+B$6)*Inputs!$D$17*(1-Inputs!$D$18))/1000000</f>
        <v>42</v>
      </c>
      <c r="C8" s="35" t="n">
        <f aca="false">($B$4+($A8+C$6)*Inputs!$D$17*(1-Inputs!$D$18))/1000000</f>
        <v>43.05</v>
      </c>
      <c r="D8" s="35" t="n">
        <f aca="false">($B$4+($A8+D$6)*Inputs!$D$17*(1-Inputs!$D$18))/1000000</f>
        <v>44.1</v>
      </c>
      <c r="E8" s="35" t="n">
        <f aca="false">($B$4+($A8+E$6)*Inputs!$D$17*(1-Inputs!$D$18))/1000000</f>
        <v>45.15</v>
      </c>
      <c r="F8" s="35" t="n">
        <f aca="false">($B$4+($A8+F$6)*Inputs!$D$17*(1-Inputs!$D$18))/1000000</f>
        <v>46.55</v>
      </c>
      <c r="G8" s="35" t="n">
        <f aca="false">($B$4+($A8+G$6)*Inputs!$D$17*(1-Inputs!$D$18))/1000000</f>
        <v>47.95</v>
      </c>
      <c r="H8" s="35" t="n">
        <f aca="false">($B$4+($A8+H$6)*Inputs!$D$17*(1-Inputs!$D$18))/1000000</f>
        <v>49.35</v>
      </c>
      <c r="I8" s="35" t="n">
        <f aca="false">($B$4+($A8+I$6)*Inputs!$D$17*(1-Inputs!$D$18))/1000000</f>
        <v>50.75</v>
      </c>
    </row>
    <row r="9" customFormat="false" ht="15" hidden="false" customHeight="false" outlineLevel="0" collapsed="false">
      <c r="A9" s="34" t="n">
        <v>21000</v>
      </c>
      <c r="B9" s="35" t="n">
        <f aca="false">($B$4+($A9+B$6)*Inputs!$D$17*(1-Inputs!$D$18))/1000000</f>
        <v>43.05</v>
      </c>
      <c r="C9" s="35" t="n">
        <f aca="false">($B$4+($A9+C$6)*Inputs!$D$17*(1-Inputs!$D$18))/1000000</f>
        <v>44.1</v>
      </c>
      <c r="D9" s="35" t="n">
        <f aca="false">($B$4+($A9+D$6)*Inputs!$D$17*(1-Inputs!$D$18))/1000000</f>
        <v>45.15</v>
      </c>
      <c r="E9" s="35" t="n">
        <f aca="false">($B$4+($A9+E$6)*Inputs!$D$17*(1-Inputs!$D$18))/1000000</f>
        <v>46.2</v>
      </c>
      <c r="F9" s="35" t="n">
        <f aca="false">($B$4+($A9+F$6)*Inputs!$D$17*(1-Inputs!$D$18))/1000000</f>
        <v>47.6</v>
      </c>
      <c r="G9" s="35" t="n">
        <f aca="false">($B$4+($A9+G$6)*Inputs!$D$17*(1-Inputs!$D$18))/1000000</f>
        <v>49</v>
      </c>
      <c r="H9" s="35" t="n">
        <f aca="false">($B$4+($A9+H$6)*Inputs!$D$17*(1-Inputs!$D$18))/1000000</f>
        <v>50.4</v>
      </c>
      <c r="I9" s="35" t="n">
        <f aca="false">($B$4+($A9+I$6)*Inputs!$D$17*(1-Inputs!$D$18))/1000000</f>
        <v>51.8</v>
      </c>
    </row>
    <row r="10" customFormat="false" ht="15" hidden="false" customHeight="false" outlineLevel="0" collapsed="false">
      <c r="A10" s="34" t="n">
        <v>24000</v>
      </c>
      <c r="B10" s="35" t="n">
        <f aca="false">($B$4+($A10+B$6)*Inputs!$D$17*(1-Inputs!$D$18))/1000000</f>
        <v>44.1</v>
      </c>
      <c r="C10" s="35" t="n">
        <f aca="false">($B$4+($A10+C$6)*Inputs!$D$17*(1-Inputs!$D$18))/1000000</f>
        <v>45.15</v>
      </c>
      <c r="D10" s="35" t="n">
        <f aca="false">($B$4+($A10+D$6)*Inputs!$D$17*(1-Inputs!$D$18))/1000000</f>
        <v>46.2</v>
      </c>
      <c r="E10" s="35" t="n">
        <f aca="false">($B$4+($A10+E$6)*Inputs!$D$17*(1-Inputs!$D$18))/1000000</f>
        <v>47.25</v>
      </c>
      <c r="F10" s="35" t="n">
        <f aca="false">($B$4+($A10+F$6)*Inputs!$D$17*(1-Inputs!$D$18))/1000000</f>
        <v>48.65</v>
      </c>
      <c r="G10" s="35" t="n">
        <f aca="false">($B$4+($A10+G$6)*Inputs!$D$17*(1-Inputs!$D$18))/1000000</f>
        <v>50.05</v>
      </c>
      <c r="H10" s="35" t="n">
        <f aca="false">($B$4+($A10+H$6)*Inputs!$D$17*(1-Inputs!$D$18))/1000000</f>
        <v>51.45</v>
      </c>
      <c r="I10" s="35" t="n">
        <f aca="false">($B$4+($A10+I$6)*Inputs!$D$17*(1-Inputs!$D$18))/1000000</f>
        <v>52.85</v>
      </c>
    </row>
    <row r="11" customFormat="false" ht="15" hidden="false" customHeight="false" outlineLevel="0" collapsed="false">
      <c r="A11" s="34" t="n">
        <v>27000</v>
      </c>
      <c r="B11" s="35" t="n">
        <f aca="false">($B$4+($A11+B$6)*Inputs!$D$17*(1-Inputs!$D$18))/1000000</f>
        <v>45.15</v>
      </c>
      <c r="C11" s="35" t="n">
        <f aca="false">($B$4+($A11+C$6)*Inputs!$D$17*(1-Inputs!$D$18))/1000000</f>
        <v>46.2</v>
      </c>
      <c r="D11" s="35" t="n">
        <f aca="false">($B$4+($A11+D$6)*Inputs!$D$17*(1-Inputs!$D$18))/1000000</f>
        <v>47.25</v>
      </c>
      <c r="E11" s="35" t="n">
        <f aca="false">($B$4+($A11+E$6)*Inputs!$D$17*(1-Inputs!$D$18))/1000000</f>
        <v>48.3</v>
      </c>
      <c r="F11" s="35" t="n">
        <f aca="false">($B$4+($A11+F$6)*Inputs!$D$17*(1-Inputs!$D$18))/1000000</f>
        <v>49.7</v>
      </c>
      <c r="G11" s="35" t="n">
        <f aca="false">($B$4+($A11+G$6)*Inputs!$D$17*(1-Inputs!$D$18))/1000000</f>
        <v>51.1</v>
      </c>
      <c r="H11" s="35" t="n">
        <f aca="false">($B$4+($A11+H$6)*Inputs!$D$17*(1-Inputs!$D$18))/1000000</f>
        <v>52.5</v>
      </c>
      <c r="I11" s="35" t="n">
        <f aca="false">($B$4+($A11+I$6)*Inputs!$D$17*(1-Inputs!$D$18))/1000000</f>
        <v>53.9</v>
      </c>
    </row>
    <row r="12" customFormat="false" ht="15" hidden="false" customHeight="false" outlineLevel="0" collapsed="false">
      <c r="A12" s="34" t="n">
        <v>30000</v>
      </c>
      <c r="B12" s="35" t="n">
        <f aca="false">($B$4+($A12+B$6)*Inputs!$D$17*(1-Inputs!$D$18))/1000000</f>
        <v>46.2</v>
      </c>
      <c r="C12" s="35" t="n">
        <f aca="false">($B$4+($A12+C$6)*Inputs!$D$17*(1-Inputs!$D$18))/1000000</f>
        <v>47.25</v>
      </c>
      <c r="D12" s="35" t="n">
        <f aca="false">($B$4+($A12+D$6)*Inputs!$D$17*(1-Inputs!$D$18))/1000000</f>
        <v>48.3</v>
      </c>
      <c r="E12" s="35" t="n">
        <f aca="false">($B$4+($A12+E$6)*Inputs!$D$17*(1-Inputs!$D$18))/1000000</f>
        <v>49.35</v>
      </c>
      <c r="F12" s="35" t="n">
        <f aca="false">($B$4+($A12+F$6)*Inputs!$D$17*(1-Inputs!$D$18))/1000000</f>
        <v>50.75</v>
      </c>
      <c r="G12" s="35" t="n">
        <f aca="false">($B$4+($A12+G$6)*Inputs!$D$17*(1-Inputs!$D$18))/1000000</f>
        <v>52.15</v>
      </c>
      <c r="H12" s="35" t="n">
        <f aca="false">($B$4+($A12+H$6)*Inputs!$D$17*(1-Inputs!$D$18))/1000000</f>
        <v>53.55</v>
      </c>
      <c r="I12" s="35" t="n">
        <f aca="false">($B$4+($A12+I$6)*Inputs!$D$17*(1-Inputs!$D$18))/1000000</f>
        <v>54.95</v>
      </c>
    </row>
    <row r="13" customFormat="false" ht="15" hidden="false" customHeight="false" outlineLevel="0" collapsed="false">
      <c r="A13" s="34" t="n">
        <v>33000</v>
      </c>
      <c r="B13" s="35" t="n">
        <f aca="false">($B$4+($A13+B$6)*Inputs!$D$17*(1-Inputs!$D$18))/1000000</f>
        <v>47.25</v>
      </c>
      <c r="C13" s="35" t="n">
        <f aca="false">($B$4+($A13+C$6)*Inputs!$D$17*(1-Inputs!$D$18))/1000000</f>
        <v>48.3</v>
      </c>
      <c r="D13" s="35" t="n">
        <f aca="false">($B$4+($A13+D$6)*Inputs!$D$17*(1-Inputs!$D$18))/1000000</f>
        <v>49.35</v>
      </c>
      <c r="E13" s="35" t="n">
        <f aca="false">($B$4+($A13+E$6)*Inputs!$D$17*(1-Inputs!$D$18))/1000000</f>
        <v>50.4</v>
      </c>
      <c r="F13" s="35" t="n">
        <f aca="false">($B$4+($A13+F$6)*Inputs!$D$17*(1-Inputs!$D$18))/1000000</f>
        <v>51.8</v>
      </c>
      <c r="G13" s="35" t="n">
        <f aca="false">($B$4+($A13+G$6)*Inputs!$D$17*(1-Inputs!$D$18))/1000000</f>
        <v>53.2</v>
      </c>
      <c r="H13" s="35" t="n">
        <f aca="false">($B$4+($A13+H$6)*Inputs!$D$17*(1-Inputs!$D$18))/1000000</f>
        <v>54.6</v>
      </c>
      <c r="I13" s="35" t="n">
        <f aca="false">($B$4+($A13+I$6)*Inputs!$D$17*(1-Inputs!$D$18))/1000000</f>
        <v>56</v>
      </c>
    </row>
    <row r="14" customFormat="false" ht="15" hidden="false" customHeight="false" outlineLevel="0" collapsed="false">
      <c r="A14" s="34" t="n">
        <v>36000</v>
      </c>
      <c r="B14" s="35" t="n">
        <f aca="false">($B$4+($A14+B$6)*Inputs!$D$17*(1-Inputs!$D$18))/1000000</f>
        <v>48.3</v>
      </c>
      <c r="C14" s="35" t="n">
        <f aca="false">($B$4+($A14+C$6)*Inputs!$D$17*(1-Inputs!$D$18))/1000000</f>
        <v>49.35</v>
      </c>
      <c r="D14" s="35" t="n">
        <f aca="false">($B$4+($A14+D$6)*Inputs!$D$17*(1-Inputs!$D$18))/1000000</f>
        <v>50.4</v>
      </c>
      <c r="E14" s="35" t="n">
        <f aca="false">($B$4+($A14+E$6)*Inputs!$D$17*(1-Inputs!$D$18))/1000000</f>
        <v>51.45</v>
      </c>
      <c r="F14" s="35" t="n">
        <f aca="false">($B$4+($A14+F$6)*Inputs!$D$17*(1-Inputs!$D$18))/1000000</f>
        <v>52.85</v>
      </c>
      <c r="G14" s="35" t="n">
        <f aca="false">($B$4+($A14+G$6)*Inputs!$D$17*(1-Inputs!$D$18))/1000000</f>
        <v>54.25</v>
      </c>
      <c r="H14" s="35" t="n">
        <f aca="false">($B$4+($A14+H$6)*Inputs!$D$17*(1-Inputs!$D$18))/1000000</f>
        <v>55.65</v>
      </c>
      <c r="I14" s="35" t="n">
        <f aca="false">($B$4+($A14+I$6)*Inputs!$D$17*(1-Inputs!$D$18))/1000000</f>
        <v>57.05</v>
      </c>
    </row>
    <row r="15" customFormat="false" ht="15" hidden="false" customHeight="false" outlineLevel="0" collapsed="false">
      <c r="A15" s="34" t="n">
        <v>40000</v>
      </c>
      <c r="B15" s="35" t="n">
        <f aca="false">($B$4+($A15+B$6)*Inputs!$D$17*(1-Inputs!$D$18))/1000000</f>
        <v>49.7</v>
      </c>
      <c r="C15" s="35" t="n">
        <f aca="false">($B$4+($A15+C$6)*Inputs!$D$17*(1-Inputs!$D$18))/1000000</f>
        <v>50.75</v>
      </c>
      <c r="D15" s="35" t="n">
        <f aca="false">($B$4+($A15+D$6)*Inputs!$D$17*(1-Inputs!$D$18))/1000000</f>
        <v>51.8</v>
      </c>
      <c r="E15" s="35" t="n">
        <f aca="false">($B$4+($A15+E$6)*Inputs!$D$17*(1-Inputs!$D$18))/1000000</f>
        <v>52.85</v>
      </c>
      <c r="F15" s="35" t="n">
        <f aca="false">($B$4+($A15+F$6)*Inputs!$D$17*(1-Inputs!$D$18))/1000000</f>
        <v>54.25</v>
      </c>
      <c r="G15" s="35" t="n">
        <f aca="false">($B$4+($A15+G$6)*Inputs!$D$17*(1-Inputs!$D$18))/1000000</f>
        <v>55.65</v>
      </c>
      <c r="H15" s="35" t="n">
        <f aca="false">($B$4+($A15+H$6)*Inputs!$D$17*(1-Inputs!$D$18))/1000000</f>
        <v>57.05</v>
      </c>
      <c r="I15" s="35" t="n">
        <f aca="false">($B$4+($A15+I$6)*Inputs!$D$17*(1-Inputs!$D$18))/1000000</f>
        <v>58.45</v>
      </c>
    </row>
    <row r="17" customFormat="false" ht="15" hidden="false" customHeight="false" outlineLevel="0" collapsed="false">
      <c r="A17" s="18" t="s">
        <v>127</v>
      </c>
    </row>
    <row r="18" customFormat="false" ht="15" hidden="false" customHeight="false" outlineLevel="0" collapsed="false">
      <c r="A18" s="33" t="s">
        <v>126</v>
      </c>
      <c r="B18" s="36" t="n">
        <f aca="false">B6</f>
        <v>10000</v>
      </c>
      <c r="C18" s="36" t="n">
        <f aca="false">C6</f>
        <v>13000</v>
      </c>
      <c r="D18" s="36" t="n">
        <f aca="false">D6</f>
        <v>16000</v>
      </c>
      <c r="E18" s="36" t="n">
        <f aca="false">E6</f>
        <v>19000</v>
      </c>
      <c r="F18" s="36" t="n">
        <f aca="false">F6</f>
        <v>23000</v>
      </c>
      <c r="G18" s="36" t="n">
        <f aca="false">G6</f>
        <v>27000</v>
      </c>
      <c r="H18" s="36" t="n">
        <f aca="false">H6</f>
        <v>31000</v>
      </c>
      <c r="I18" s="36" t="n">
        <f aca="false">I6</f>
        <v>35000</v>
      </c>
    </row>
    <row r="19" customFormat="false" ht="15" hidden="false" customHeight="false" outlineLevel="0" collapsed="false">
      <c r="A19" s="36" t="n">
        <f aca="false">A7</f>
        <v>15000</v>
      </c>
      <c r="B19" s="15" t="n">
        <f aca="false">B7*1000000/Inputs!$D$14</f>
        <v>0.1638</v>
      </c>
      <c r="C19" s="15" t="n">
        <f aca="false">C7*1000000/Inputs!$D$14</f>
        <v>0.168</v>
      </c>
      <c r="D19" s="15" t="n">
        <f aca="false">D7*1000000/Inputs!$D$14</f>
        <v>0.1722</v>
      </c>
      <c r="E19" s="15" t="n">
        <f aca="false">E7*1000000/Inputs!$D$14</f>
        <v>0.1764</v>
      </c>
      <c r="F19" s="15" t="n">
        <f aca="false">F7*1000000/Inputs!$D$14</f>
        <v>0.182</v>
      </c>
      <c r="G19" s="15" t="n">
        <f aca="false">G7*1000000/Inputs!$D$14</f>
        <v>0.1876</v>
      </c>
      <c r="H19" s="15" t="n">
        <f aca="false">H7*1000000/Inputs!$D$14</f>
        <v>0.1932</v>
      </c>
      <c r="I19" s="15" t="n">
        <f aca="false">I7*1000000/Inputs!$D$14</f>
        <v>0.1988</v>
      </c>
    </row>
    <row r="20" customFormat="false" ht="15" hidden="false" customHeight="false" outlineLevel="0" collapsed="false">
      <c r="A20" s="36" t="n">
        <f aca="false">A8</f>
        <v>18000</v>
      </c>
      <c r="B20" s="15" t="n">
        <f aca="false">B8*1000000/Inputs!$D$14</f>
        <v>0.168</v>
      </c>
      <c r="C20" s="15" t="n">
        <f aca="false">C8*1000000/Inputs!$D$14</f>
        <v>0.1722</v>
      </c>
      <c r="D20" s="15" t="n">
        <f aca="false">D8*1000000/Inputs!$D$14</f>
        <v>0.1764</v>
      </c>
      <c r="E20" s="15" t="n">
        <f aca="false">E8*1000000/Inputs!$D$14</f>
        <v>0.1806</v>
      </c>
      <c r="F20" s="15" t="n">
        <f aca="false">F8*1000000/Inputs!$D$14</f>
        <v>0.1862</v>
      </c>
      <c r="G20" s="15" t="n">
        <f aca="false">G8*1000000/Inputs!$D$14</f>
        <v>0.1918</v>
      </c>
      <c r="H20" s="15" t="n">
        <f aca="false">H8*1000000/Inputs!$D$14</f>
        <v>0.1974</v>
      </c>
      <c r="I20" s="15" t="n">
        <f aca="false">I8*1000000/Inputs!$D$14</f>
        <v>0.203</v>
      </c>
    </row>
    <row r="21" customFormat="false" ht="15" hidden="false" customHeight="false" outlineLevel="0" collapsed="false">
      <c r="A21" s="36" t="n">
        <f aca="false">A9</f>
        <v>21000</v>
      </c>
      <c r="B21" s="15" t="n">
        <f aca="false">B9*1000000/Inputs!$D$14</f>
        <v>0.1722</v>
      </c>
      <c r="C21" s="15" t="n">
        <f aca="false">C9*1000000/Inputs!$D$14</f>
        <v>0.1764</v>
      </c>
      <c r="D21" s="15" t="n">
        <f aca="false">D9*1000000/Inputs!$D$14</f>
        <v>0.1806</v>
      </c>
      <c r="E21" s="15" t="n">
        <f aca="false">E9*1000000/Inputs!$D$14</f>
        <v>0.1848</v>
      </c>
      <c r="F21" s="15" t="n">
        <f aca="false">F9*1000000/Inputs!$D$14</f>
        <v>0.1904</v>
      </c>
      <c r="G21" s="15" t="n">
        <f aca="false">G9*1000000/Inputs!$D$14</f>
        <v>0.196</v>
      </c>
      <c r="H21" s="15" t="n">
        <f aca="false">H9*1000000/Inputs!$D$14</f>
        <v>0.2016</v>
      </c>
      <c r="I21" s="15" t="n">
        <f aca="false">I9*1000000/Inputs!$D$14</f>
        <v>0.2072</v>
      </c>
    </row>
    <row r="22" customFormat="false" ht="15" hidden="false" customHeight="false" outlineLevel="0" collapsed="false">
      <c r="A22" s="36" t="n">
        <f aca="false">A10</f>
        <v>24000</v>
      </c>
      <c r="B22" s="15" t="n">
        <f aca="false">B10*1000000/Inputs!$D$14</f>
        <v>0.1764</v>
      </c>
      <c r="C22" s="15" t="n">
        <f aca="false">C10*1000000/Inputs!$D$14</f>
        <v>0.1806</v>
      </c>
      <c r="D22" s="15" t="n">
        <f aca="false">D10*1000000/Inputs!$D$14</f>
        <v>0.1848</v>
      </c>
      <c r="E22" s="15" t="n">
        <f aca="false">E10*1000000/Inputs!$D$14</f>
        <v>0.189</v>
      </c>
      <c r="F22" s="15" t="n">
        <f aca="false">F10*1000000/Inputs!$D$14</f>
        <v>0.1946</v>
      </c>
      <c r="G22" s="15" t="n">
        <f aca="false">G10*1000000/Inputs!$D$14</f>
        <v>0.2002</v>
      </c>
      <c r="H22" s="15" t="n">
        <f aca="false">H10*1000000/Inputs!$D$14</f>
        <v>0.2058</v>
      </c>
      <c r="I22" s="15" t="n">
        <f aca="false">I10*1000000/Inputs!$D$14</f>
        <v>0.2114</v>
      </c>
    </row>
    <row r="23" customFormat="false" ht="15" hidden="false" customHeight="false" outlineLevel="0" collapsed="false">
      <c r="A23" s="36" t="n">
        <f aca="false">A11</f>
        <v>27000</v>
      </c>
      <c r="B23" s="15" t="n">
        <f aca="false">B11*1000000/Inputs!$D$14</f>
        <v>0.1806</v>
      </c>
      <c r="C23" s="15" t="n">
        <f aca="false">C11*1000000/Inputs!$D$14</f>
        <v>0.1848</v>
      </c>
      <c r="D23" s="15" t="n">
        <f aca="false">D11*1000000/Inputs!$D$14</f>
        <v>0.189</v>
      </c>
      <c r="E23" s="15" t="n">
        <f aca="false">E11*1000000/Inputs!$D$14</f>
        <v>0.1932</v>
      </c>
      <c r="F23" s="15" t="n">
        <f aca="false">F11*1000000/Inputs!$D$14</f>
        <v>0.1988</v>
      </c>
      <c r="G23" s="15" t="n">
        <f aca="false">G11*1000000/Inputs!$D$14</f>
        <v>0.2044</v>
      </c>
      <c r="H23" s="15" t="n">
        <f aca="false">H11*1000000/Inputs!$D$14</f>
        <v>0.21</v>
      </c>
      <c r="I23" s="15" t="n">
        <f aca="false">I11*1000000/Inputs!$D$14</f>
        <v>0.2156</v>
      </c>
    </row>
    <row r="24" customFormat="false" ht="15" hidden="false" customHeight="false" outlineLevel="0" collapsed="false">
      <c r="A24" s="36" t="n">
        <f aca="false">A12</f>
        <v>30000</v>
      </c>
      <c r="B24" s="15" t="n">
        <f aca="false">B12*1000000/Inputs!$D$14</f>
        <v>0.1848</v>
      </c>
      <c r="C24" s="15" t="n">
        <f aca="false">C12*1000000/Inputs!$D$14</f>
        <v>0.189</v>
      </c>
      <c r="D24" s="15" t="n">
        <f aca="false">D12*1000000/Inputs!$D$14</f>
        <v>0.1932</v>
      </c>
      <c r="E24" s="15" t="n">
        <f aca="false">E12*1000000/Inputs!$D$14</f>
        <v>0.1974</v>
      </c>
      <c r="F24" s="15" t="n">
        <f aca="false">F12*1000000/Inputs!$D$14</f>
        <v>0.203</v>
      </c>
      <c r="G24" s="15" t="n">
        <f aca="false">G12*1000000/Inputs!$D$14</f>
        <v>0.2086</v>
      </c>
      <c r="H24" s="15" t="n">
        <f aca="false">H12*1000000/Inputs!$D$14</f>
        <v>0.2142</v>
      </c>
      <c r="I24" s="15" t="n">
        <f aca="false">I12*1000000/Inputs!$D$14</f>
        <v>0.2198</v>
      </c>
    </row>
    <row r="25" customFormat="false" ht="15" hidden="false" customHeight="false" outlineLevel="0" collapsed="false">
      <c r="A25" s="36" t="n">
        <f aca="false">A13</f>
        <v>33000</v>
      </c>
      <c r="B25" s="15" t="n">
        <f aca="false">B13*1000000/Inputs!$D$14</f>
        <v>0.189</v>
      </c>
      <c r="C25" s="15" t="n">
        <f aca="false">C13*1000000/Inputs!$D$14</f>
        <v>0.1932</v>
      </c>
      <c r="D25" s="15" t="n">
        <f aca="false">D13*1000000/Inputs!$D$14</f>
        <v>0.1974</v>
      </c>
      <c r="E25" s="15" t="n">
        <f aca="false">E13*1000000/Inputs!$D$14</f>
        <v>0.2016</v>
      </c>
      <c r="F25" s="15" t="n">
        <f aca="false">F13*1000000/Inputs!$D$14</f>
        <v>0.2072</v>
      </c>
      <c r="G25" s="15" t="n">
        <f aca="false">G13*1000000/Inputs!$D$14</f>
        <v>0.2128</v>
      </c>
      <c r="H25" s="15" t="n">
        <f aca="false">H13*1000000/Inputs!$D$14</f>
        <v>0.2184</v>
      </c>
      <c r="I25" s="15" t="n">
        <f aca="false">I13*1000000/Inputs!$D$14</f>
        <v>0.224</v>
      </c>
    </row>
    <row r="26" customFormat="false" ht="15" hidden="false" customHeight="false" outlineLevel="0" collapsed="false">
      <c r="A26" s="36" t="n">
        <f aca="false">A14</f>
        <v>36000</v>
      </c>
      <c r="B26" s="15" t="n">
        <f aca="false">B14*1000000/Inputs!$D$14</f>
        <v>0.1932</v>
      </c>
      <c r="C26" s="15" t="n">
        <f aca="false">C14*1000000/Inputs!$D$14</f>
        <v>0.1974</v>
      </c>
      <c r="D26" s="15" t="n">
        <f aca="false">D14*1000000/Inputs!$D$14</f>
        <v>0.2016</v>
      </c>
      <c r="E26" s="15" t="n">
        <f aca="false">E14*1000000/Inputs!$D$14</f>
        <v>0.2058</v>
      </c>
      <c r="F26" s="15" t="n">
        <f aca="false">F14*1000000/Inputs!$D$14</f>
        <v>0.2114</v>
      </c>
      <c r="G26" s="15" t="n">
        <f aca="false">G14*1000000/Inputs!$D$14</f>
        <v>0.217</v>
      </c>
      <c r="H26" s="15" t="n">
        <f aca="false">H14*1000000/Inputs!$D$14</f>
        <v>0.2226</v>
      </c>
      <c r="I26" s="15" t="n">
        <f aca="false">I14*1000000/Inputs!$D$14</f>
        <v>0.2282</v>
      </c>
    </row>
    <row r="27" customFormat="false" ht="15" hidden="false" customHeight="false" outlineLevel="0" collapsed="false">
      <c r="A27" s="36" t="n">
        <f aca="false">A15</f>
        <v>40000</v>
      </c>
      <c r="B27" s="15" t="n">
        <f aca="false">B15*1000000/Inputs!$D$14</f>
        <v>0.1988</v>
      </c>
      <c r="C27" s="15" t="n">
        <f aca="false">C15*1000000/Inputs!$D$14</f>
        <v>0.203</v>
      </c>
      <c r="D27" s="15" t="n">
        <f aca="false">D15*1000000/Inputs!$D$14</f>
        <v>0.2072</v>
      </c>
      <c r="E27" s="15" t="n">
        <f aca="false">E15*1000000/Inputs!$D$14</f>
        <v>0.2114</v>
      </c>
      <c r="F27" s="15" t="n">
        <f aca="false">F15*1000000/Inputs!$D$14</f>
        <v>0.217</v>
      </c>
      <c r="G27" s="15" t="n">
        <f aca="false">G15*1000000/Inputs!$D$14</f>
        <v>0.2226</v>
      </c>
      <c r="H27" s="15" t="n">
        <f aca="false">H15*1000000/Inputs!$D$14</f>
        <v>0.2282</v>
      </c>
      <c r="I27" s="15" t="n">
        <f aca="false">I15*1000000/Inputs!$D$14</f>
        <v>0.2338</v>
      </c>
    </row>
    <row r="29" customFormat="false" ht="15" hidden="false" customHeight="false" outlineLevel="0" collapsed="false">
      <c r="A29" s="2" t="s">
        <v>128</v>
      </c>
    </row>
    <row r="30" customFormat="false" ht="15" hidden="false" customHeight="false" outlineLevel="0" collapsed="false">
      <c r="A30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A4" s="7" t="s">
        <v>132</v>
      </c>
      <c r="B4" s="7" t="s">
        <v>133</v>
      </c>
      <c r="C4" s="7" t="s">
        <v>134</v>
      </c>
    </row>
    <row r="5" customFormat="false" ht="15" hidden="false" customHeight="false" outlineLevel="0" collapsed="false">
      <c r="A5" s="9" t="s">
        <v>135</v>
      </c>
      <c r="B5" s="27" t="n">
        <v>80000</v>
      </c>
      <c r="C5" s="37" t="s">
        <v>136</v>
      </c>
    </row>
    <row r="6" customFormat="false" ht="15" hidden="false" customHeight="false" outlineLevel="0" collapsed="false">
      <c r="A6" s="9" t="s">
        <v>137</v>
      </c>
      <c r="B6" s="38" t="n">
        <v>25.6</v>
      </c>
      <c r="C6" s="37" t="s">
        <v>136</v>
      </c>
    </row>
    <row r="7" customFormat="false" ht="15" hidden="false" customHeight="false" outlineLevel="0" collapsed="false">
      <c r="A7" s="9" t="s">
        <v>138</v>
      </c>
      <c r="B7" s="11" t="n">
        <f aca="false">B5*B6</f>
        <v>2048000</v>
      </c>
      <c r="C7" s="37"/>
    </row>
    <row r="8" customFormat="false" ht="15" hidden="false" customHeight="false" outlineLevel="0" collapsed="false">
      <c r="A8" s="9" t="s">
        <v>139</v>
      </c>
      <c r="B8" s="28" t="n">
        <v>4600</v>
      </c>
      <c r="C8" s="37" t="s">
        <v>140</v>
      </c>
    </row>
    <row r="9" customFormat="false" ht="15" hidden="false" customHeight="false" outlineLevel="0" collapsed="false">
      <c r="A9" s="9" t="s">
        <v>141</v>
      </c>
      <c r="B9" s="28" t="n">
        <v>4600</v>
      </c>
      <c r="C9" s="37" t="s">
        <v>142</v>
      </c>
    </row>
    <row r="10" customFormat="false" ht="15" hidden="false" customHeight="false" outlineLevel="0" collapsed="false">
      <c r="A10" s="9" t="s">
        <v>143</v>
      </c>
      <c r="B10" s="39" t="n">
        <v>12.5</v>
      </c>
      <c r="C10" s="37" t="s">
        <v>144</v>
      </c>
    </row>
    <row r="11" customFormat="false" ht="15" hidden="false" customHeight="false" outlineLevel="0" collapsed="false">
      <c r="A11" s="9" t="s">
        <v>145</v>
      </c>
      <c r="B11" s="39" t="n">
        <v>13</v>
      </c>
      <c r="C11" s="37"/>
    </row>
    <row r="12" customFormat="false" ht="15" hidden="false" customHeight="false" outlineLevel="0" collapsed="false">
      <c r="A12" s="9" t="s">
        <v>146</v>
      </c>
      <c r="B12" s="28" t="n">
        <v>9</v>
      </c>
      <c r="C12" s="37" t="s">
        <v>147</v>
      </c>
    </row>
    <row r="13" customFormat="false" ht="15" hidden="false" customHeight="false" outlineLevel="0" collapsed="false">
      <c r="A13" s="9" t="s">
        <v>148</v>
      </c>
      <c r="B13" s="35" t="n">
        <f aca="false">B8/(B10*24)+B9/(B11*24)</f>
        <v>30.0769230769231</v>
      </c>
      <c r="C13" s="37" t="s">
        <v>87</v>
      </c>
    </row>
    <row r="14" customFormat="false" ht="15" hidden="false" customHeight="false" outlineLevel="0" collapsed="false">
      <c r="A14" s="9" t="s">
        <v>149</v>
      </c>
      <c r="B14" s="35" t="n">
        <f aca="false">B13+B12</f>
        <v>39.0769230769231</v>
      </c>
      <c r="C14" s="37" t="s">
        <v>87</v>
      </c>
    </row>
    <row r="15" customFormat="false" ht="15" hidden="false" customHeight="false" outlineLevel="0" collapsed="false">
      <c r="A15" s="9" t="s">
        <v>150</v>
      </c>
      <c r="B15" s="28" t="n">
        <v>27</v>
      </c>
      <c r="C15" s="37" t="s">
        <v>151</v>
      </c>
    </row>
    <row r="16" customFormat="false" ht="15" hidden="false" customHeight="false" outlineLevel="0" collapsed="false">
      <c r="A16" s="9" t="s">
        <v>152</v>
      </c>
      <c r="B16" s="28" t="n">
        <v>4</v>
      </c>
      <c r="C16" s="37"/>
    </row>
    <row r="17" customFormat="false" ht="15" hidden="false" customHeight="false" outlineLevel="0" collapsed="false">
      <c r="A17" s="9" t="s">
        <v>153</v>
      </c>
      <c r="B17" s="25" t="n">
        <v>650</v>
      </c>
      <c r="C17" s="37" t="s">
        <v>154</v>
      </c>
    </row>
    <row r="18" customFormat="false" ht="15" hidden="false" customHeight="false" outlineLevel="0" collapsed="false">
      <c r="A18" s="9" t="s">
        <v>155</v>
      </c>
      <c r="B18" s="11" t="n">
        <f aca="false">(B13*B15+B12*B16)*B17</f>
        <v>551250</v>
      </c>
      <c r="C18" s="37" t="s">
        <v>87</v>
      </c>
    </row>
    <row r="19" customFormat="false" ht="15" hidden="false" customHeight="false" outlineLevel="0" collapsed="false">
      <c r="A19" s="9" t="s">
        <v>156</v>
      </c>
      <c r="B19" s="25" t="n">
        <v>160000</v>
      </c>
      <c r="C19" s="37" t="s">
        <v>157</v>
      </c>
    </row>
    <row r="20" customFormat="false" ht="15" hidden="false" customHeight="false" outlineLevel="0" collapsed="false">
      <c r="A20" s="9" t="s">
        <v>158</v>
      </c>
      <c r="B20" s="30" t="n">
        <v>0.0375</v>
      </c>
      <c r="C20" s="37" t="s">
        <v>159</v>
      </c>
    </row>
    <row r="21" customFormat="false" ht="15" hidden="false" customHeight="false" outlineLevel="0" collapsed="false">
      <c r="A21" s="9" t="s">
        <v>160</v>
      </c>
      <c r="B21" s="11" t="n">
        <f aca="false">B7*B20</f>
        <v>76800</v>
      </c>
      <c r="C21" s="37" t="s">
        <v>87</v>
      </c>
    </row>
    <row r="22" customFormat="false" ht="15" hidden="false" customHeight="false" outlineLevel="0" collapsed="false">
      <c r="A22" s="9" t="s">
        <v>161</v>
      </c>
      <c r="B22" s="11" t="n">
        <f aca="false">B7-B18-B19-B21</f>
        <v>1259950</v>
      </c>
      <c r="C22" s="37" t="s">
        <v>162</v>
      </c>
    </row>
    <row r="23" customFormat="false" ht="15" hidden="false" customHeight="false" outlineLevel="0" collapsed="false">
      <c r="A23" s="16" t="s">
        <v>163</v>
      </c>
      <c r="B23" s="11" t="n">
        <f aca="false">B22/B14</f>
        <v>32242.8149606299</v>
      </c>
      <c r="C23" s="37" t="s">
        <v>164</v>
      </c>
    </row>
    <row r="24" customFormat="false" ht="15" hidden="false" customHeight="false" outlineLevel="0" collapsed="false">
      <c r="A24" s="9" t="s">
        <v>165</v>
      </c>
      <c r="B24" s="31" t="n">
        <f aca="false">Inputs!G9</f>
        <v>23000</v>
      </c>
      <c r="C24" s="37" t="s">
        <v>166</v>
      </c>
    </row>
    <row r="25" customFormat="false" ht="15" hidden="false" customHeight="false" outlineLevel="0" collapsed="false">
      <c r="A25" s="9" t="s">
        <v>167</v>
      </c>
      <c r="B25" s="15" t="n">
        <f aca="false">B23/B24-1</f>
        <v>0.401861520027388</v>
      </c>
      <c r="C25" s="37" t="s">
        <v>168</v>
      </c>
    </row>
    <row r="31" customFormat="false" ht="15" hidden="false" customHeight="true" outlineLevel="0" collapsed="false">
      <c r="A31" s="40" t="s">
        <v>169</v>
      </c>
      <c r="B31" s="40"/>
      <c r="C31" s="40"/>
    </row>
    <row r="32" customFormat="false" ht="15" hidden="false" customHeight="false" outlineLevel="0" collapsed="false">
      <c r="A32" s="40"/>
      <c r="B32" s="40"/>
      <c r="C32" s="40"/>
    </row>
  </sheetData>
  <mergeCells count="1">
    <mergeCell ref="A31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15" hidden="false" customHeight="false" outlineLevel="0" collapsed="false">
      <c r="A4" s="7" t="s">
        <v>132</v>
      </c>
      <c r="B4" s="7" t="s">
        <v>172</v>
      </c>
    </row>
    <row r="5" customFormat="false" ht="23.85" hidden="false" customHeight="false" outlineLevel="0" collapsed="false">
      <c r="A5" s="16" t="s">
        <v>173</v>
      </c>
      <c r="B5" s="41" t="s">
        <v>174</v>
      </c>
    </row>
    <row r="6" customFormat="false" ht="23.85" hidden="false" customHeight="false" outlineLevel="0" collapsed="false">
      <c r="A6" s="16" t="s">
        <v>175</v>
      </c>
      <c r="B6" s="41" t="s">
        <v>176</v>
      </c>
    </row>
    <row r="7" customFormat="false" ht="23.85" hidden="false" customHeight="false" outlineLevel="0" collapsed="false">
      <c r="A7" s="16" t="s">
        <v>177</v>
      </c>
      <c r="B7" s="41" t="s">
        <v>178</v>
      </c>
    </row>
    <row r="8" customFormat="false" ht="15" hidden="false" customHeight="false" outlineLevel="0" collapsed="false">
      <c r="A8" s="16" t="s">
        <v>179</v>
      </c>
      <c r="B8" s="41" t="s">
        <v>180</v>
      </c>
    </row>
    <row r="9" customFormat="false" ht="23.85" hidden="false" customHeight="false" outlineLevel="0" collapsed="false">
      <c r="A9" s="16" t="s">
        <v>181</v>
      </c>
      <c r="B9" s="41" t="s">
        <v>182</v>
      </c>
    </row>
    <row r="10" customFormat="false" ht="15" hidden="false" customHeight="false" outlineLevel="0" collapsed="false">
      <c r="A10" s="16" t="s">
        <v>183</v>
      </c>
      <c r="B10" s="41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2026-10-10T08:53:59Z</dcterms:created>
  <dc:creator>openpyxl</dc:creator>
  <dc:description/>
  <dc:language>en-US</dc:language>
  <cp:lastModifiedBy/>
  <dcterms:modified xsi:type="dcterms:W3CDTF">2026-10-10T16:54:01Z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